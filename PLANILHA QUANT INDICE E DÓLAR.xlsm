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WandersondeSouza\Desktop\"/>
    </mc:Choice>
  </mc:AlternateContent>
  <xr:revisionPtr revIDLastSave="0" documentId="8_{716B21F8-EABD-48AA-84DC-FAF8A3E0E8E6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PLANILHA QUANT INDICE E DOLAR" sheetId="18" r:id="rId1"/>
    <sheet name="HISTORICO" sheetId="19" r:id="rId2"/>
  </sheets>
  <definedNames>
    <definedName name="_xlnm._FilterDatabase" localSheetId="0" hidden="1">'PLANILHA QUANT INDICE E DOLAR'!$G$13:$H$14</definedName>
    <definedName name="DadosExternos_1" localSheetId="0" hidden="1">'PLANILHA QUANT INDICE E DOLAR'!$AG$110:$AH$118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H119" i="18" l="1"/>
  <c r="K5" i="18"/>
  <c r="V106" i="19"/>
  <c r="V105" i="19"/>
  <c r="V104" i="19"/>
  <c r="V103" i="19"/>
  <c r="V102" i="19"/>
  <c r="V101" i="19"/>
  <c r="V100" i="19"/>
  <c r="V99" i="19"/>
  <c r="V98" i="19"/>
  <c r="V97" i="19"/>
  <c r="V96" i="19"/>
  <c r="V95" i="19"/>
  <c r="V94" i="19"/>
  <c r="V93" i="19"/>
  <c r="V92" i="19"/>
  <c r="V91" i="19"/>
  <c r="V90" i="19"/>
  <c r="V89" i="19"/>
  <c r="V88" i="19"/>
  <c r="V87" i="19"/>
  <c r="V86" i="19"/>
  <c r="V85" i="19"/>
  <c r="V84" i="19"/>
  <c r="V83" i="19"/>
  <c r="V82" i="19"/>
  <c r="V81" i="19"/>
  <c r="V80" i="19"/>
  <c r="V79" i="19"/>
  <c r="V78" i="19"/>
  <c r="V77" i="19"/>
  <c r="V76" i="19"/>
  <c r="V75" i="19"/>
  <c r="V74" i="19"/>
  <c r="V73" i="19"/>
  <c r="V72" i="19"/>
  <c r="V71" i="19"/>
  <c r="V70" i="19"/>
  <c r="V69" i="19"/>
  <c r="V68" i="19"/>
  <c r="V67" i="19"/>
  <c r="V66" i="19"/>
  <c r="V65" i="19"/>
  <c r="V64" i="19"/>
  <c r="V63" i="19"/>
  <c r="V62" i="19"/>
  <c r="V61" i="19"/>
  <c r="V60" i="19"/>
  <c r="V59" i="19"/>
  <c r="V58" i="19"/>
  <c r="V57" i="19"/>
  <c r="V56" i="19"/>
  <c r="V55" i="19"/>
  <c r="V54" i="19"/>
  <c r="V53" i="19"/>
  <c r="V52" i="19"/>
  <c r="V51" i="19"/>
  <c r="V50" i="19"/>
  <c r="V49" i="19"/>
  <c r="V48" i="19"/>
  <c r="V47" i="19"/>
  <c r="V46" i="19"/>
  <c r="V45" i="19"/>
  <c r="V44" i="19"/>
  <c r="V43" i="19"/>
  <c r="V42" i="19"/>
  <c r="V41" i="19"/>
  <c r="V40" i="19"/>
  <c r="V39" i="19"/>
  <c r="V38" i="19"/>
  <c r="V37" i="19"/>
  <c r="V36" i="19"/>
  <c r="V35" i="19"/>
  <c r="V34" i="19"/>
  <c r="V33" i="19"/>
  <c r="V32" i="19"/>
  <c r="V31" i="19"/>
  <c r="V30" i="19"/>
  <c r="V29" i="19"/>
  <c r="V28" i="19"/>
  <c r="V27" i="19"/>
  <c r="V26" i="19"/>
  <c r="V25" i="19"/>
  <c r="V24" i="19"/>
  <c r="V23" i="19"/>
  <c r="V22" i="19"/>
  <c r="V21" i="19"/>
  <c r="V20" i="19"/>
  <c r="V19" i="19"/>
  <c r="V18" i="19"/>
  <c r="V17" i="19"/>
  <c r="V16" i="19"/>
  <c r="V15" i="19"/>
  <c r="V14" i="19"/>
  <c r="V13" i="19"/>
  <c r="V12" i="19"/>
  <c r="V11" i="19"/>
  <c r="V10" i="19"/>
  <c r="V9" i="19"/>
  <c r="V8" i="19"/>
  <c r="V7" i="19"/>
  <c r="V6" i="19"/>
  <c r="V5" i="19"/>
  <c r="V4" i="19"/>
  <c r="V3" i="19"/>
  <c r="V2" i="19"/>
  <c r="U106" i="19"/>
  <c r="U105" i="19"/>
  <c r="U104" i="19"/>
  <c r="U103" i="19"/>
  <c r="U102" i="19"/>
  <c r="U101" i="19"/>
  <c r="U100" i="19"/>
  <c r="U99" i="19"/>
  <c r="U98" i="19"/>
  <c r="U97" i="19"/>
  <c r="U96" i="19"/>
  <c r="U95" i="19"/>
  <c r="U94" i="19"/>
  <c r="U93" i="19"/>
  <c r="U92" i="19"/>
  <c r="U91" i="19"/>
  <c r="U90" i="19"/>
  <c r="U89" i="19"/>
  <c r="U88" i="19"/>
  <c r="U87" i="19"/>
  <c r="U86" i="19"/>
  <c r="U85" i="19"/>
  <c r="U84" i="19"/>
  <c r="U83" i="19"/>
  <c r="U82" i="19"/>
  <c r="U81" i="19"/>
  <c r="U80" i="19"/>
  <c r="U79" i="19"/>
  <c r="U78" i="19"/>
  <c r="U77" i="19"/>
  <c r="U76" i="19"/>
  <c r="U75" i="19"/>
  <c r="U74" i="19"/>
  <c r="U73" i="19"/>
  <c r="U72" i="19"/>
  <c r="U71" i="19"/>
  <c r="U70" i="19"/>
  <c r="U69" i="19"/>
  <c r="U68" i="19"/>
  <c r="U67" i="19"/>
  <c r="U66" i="19"/>
  <c r="U65" i="19"/>
  <c r="U64" i="19"/>
  <c r="U63" i="19"/>
  <c r="U62" i="19"/>
  <c r="U61" i="19"/>
  <c r="U60" i="19"/>
  <c r="U59" i="19"/>
  <c r="U58" i="19"/>
  <c r="U57" i="19"/>
  <c r="U56" i="19"/>
  <c r="U55" i="19"/>
  <c r="U54" i="19"/>
  <c r="U53" i="19"/>
  <c r="U52" i="19"/>
  <c r="U51" i="19"/>
  <c r="U50" i="19"/>
  <c r="U49" i="19"/>
  <c r="U48" i="19"/>
  <c r="U47" i="19"/>
  <c r="U46" i="19"/>
  <c r="U45" i="19"/>
  <c r="U44" i="19"/>
  <c r="U43" i="19"/>
  <c r="U42" i="19"/>
  <c r="U41" i="19"/>
  <c r="U40" i="19"/>
  <c r="U39" i="19"/>
  <c r="U38" i="19"/>
  <c r="U37" i="19"/>
  <c r="U36" i="19"/>
  <c r="U35" i="19"/>
  <c r="U34" i="19"/>
  <c r="U33" i="19"/>
  <c r="U32" i="19"/>
  <c r="U31" i="19"/>
  <c r="U30" i="19"/>
  <c r="U29" i="19"/>
  <c r="U28" i="19"/>
  <c r="U27" i="19"/>
  <c r="U26" i="19"/>
  <c r="U25" i="19"/>
  <c r="U24" i="19"/>
  <c r="U23" i="19"/>
  <c r="U22" i="19"/>
  <c r="U21" i="19"/>
  <c r="U20" i="19"/>
  <c r="U19" i="19"/>
  <c r="U18" i="19"/>
  <c r="U17" i="19"/>
  <c r="U16" i="19"/>
  <c r="U15" i="19"/>
  <c r="U14" i="19"/>
  <c r="U13" i="19"/>
  <c r="U12" i="19"/>
  <c r="U11" i="19"/>
  <c r="U10" i="19"/>
  <c r="U9" i="19"/>
  <c r="U8" i="19"/>
  <c r="U7" i="19"/>
  <c r="U6" i="19"/>
  <c r="U5" i="19"/>
  <c r="U4" i="19"/>
  <c r="U3" i="19"/>
  <c r="U2" i="19"/>
  <c r="B14" i="18"/>
  <c r="B15" i="18"/>
  <c r="K18" i="18"/>
  <c r="K19" i="18"/>
  <c r="AC8" i="18" l="1"/>
  <c r="H19" i="18"/>
  <c r="H18" i="18"/>
  <c r="B19" i="18"/>
  <c r="B18" i="18"/>
  <c r="H14" i="18"/>
  <c r="AJ131" i="18"/>
  <c r="AJ130" i="18"/>
  <c r="AJ129" i="18"/>
  <c r="AJ128" i="18"/>
  <c r="AJ127" i="18"/>
  <c r="AJ126" i="18"/>
  <c r="AJ125" i="18"/>
  <c r="AJ124" i="18"/>
  <c r="AJ123" i="18"/>
  <c r="AJ122" i="18"/>
  <c r="AJ121" i="18"/>
  <c r="AJ120" i="18"/>
  <c r="AJ119" i="18"/>
  <c r="AJ118" i="18"/>
  <c r="AJ117" i="18"/>
  <c r="AJ116" i="18"/>
  <c r="AJ115" i="18"/>
  <c r="AJ114" i="18"/>
  <c r="AJ113" i="18"/>
  <c r="AJ112" i="18"/>
  <c r="AJ111" i="18"/>
  <c r="AJ110" i="18"/>
  <c r="AJ109" i="18"/>
  <c r="AJ108" i="18"/>
  <c r="AJ107" i="18"/>
  <c r="AJ106" i="18"/>
  <c r="AJ105" i="18"/>
  <c r="AJ104" i="18"/>
  <c r="AJ103" i="18"/>
  <c r="AJ102" i="18"/>
  <c r="AJ101" i="18"/>
  <c r="AJ100" i="18"/>
  <c r="AJ99" i="18"/>
  <c r="AJ98" i="18"/>
  <c r="AJ97" i="18"/>
  <c r="AJ96" i="18"/>
  <c r="AJ95" i="18"/>
  <c r="AJ94" i="18"/>
  <c r="AJ93" i="18"/>
  <c r="AJ92" i="18"/>
  <c r="AJ91" i="18"/>
  <c r="AJ90" i="18"/>
  <c r="AJ89" i="18"/>
  <c r="AH108" i="18"/>
  <c r="AH107" i="18"/>
  <c r="AH106" i="18"/>
  <c r="AH105" i="18"/>
  <c r="AH104" i="18"/>
  <c r="AH103" i="18"/>
  <c r="AH102" i="18"/>
  <c r="AH101" i="18"/>
  <c r="AH100" i="18"/>
  <c r="AH99" i="18"/>
  <c r="AH98" i="18"/>
  <c r="AH97" i="18"/>
  <c r="AH96" i="18"/>
  <c r="AH95" i="18"/>
  <c r="AH92" i="18"/>
  <c r="AH91" i="18"/>
  <c r="AH90" i="18"/>
  <c r="AH89" i="18"/>
  <c r="AF131" i="18"/>
  <c r="AF130" i="18"/>
  <c r="AF129" i="18"/>
  <c r="AF128" i="18"/>
  <c r="AF127" i="18"/>
  <c r="AF125" i="18"/>
  <c r="AF124" i="18"/>
  <c r="AF123" i="18"/>
  <c r="AF122" i="18"/>
  <c r="AF121" i="18"/>
  <c r="AF120" i="18"/>
  <c r="AF119" i="18"/>
  <c r="AF118" i="18"/>
  <c r="AF117" i="18"/>
  <c r="AF116" i="18"/>
  <c r="AF115" i="18"/>
  <c r="AF114" i="18"/>
  <c r="AF113" i="18"/>
  <c r="AF112" i="18"/>
  <c r="AF111" i="18"/>
  <c r="AF110" i="18"/>
  <c r="AF109" i="18"/>
  <c r="AF108" i="18"/>
  <c r="AF107" i="18"/>
  <c r="AF106" i="18"/>
  <c r="AF105" i="18"/>
  <c r="AF104" i="18"/>
  <c r="AF103" i="18"/>
  <c r="AF102" i="18"/>
  <c r="AF101" i="18"/>
  <c r="AF100" i="18"/>
  <c r="AF99" i="18"/>
  <c r="AF98" i="18"/>
  <c r="AF97" i="18"/>
  <c r="AF96" i="18"/>
  <c r="AF95" i="18"/>
  <c r="AF94" i="18"/>
  <c r="AC131" i="18"/>
  <c r="AC130" i="18"/>
  <c r="AC129" i="18"/>
  <c r="AC128" i="18"/>
  <c r="AC127" i="18"/>
  <c r="AC126" i="18"/>
  <c r="AC125" i="18"/>
  <c r="AC124" i="18"/>
  <c r="AC123" i="18"/>
  <c r="AC121" i="18"/>
  <c r="AC120" i="18"/>
  <c r="AC119" i="18"/>
  <c r="AC118" i="18"/>
  <c r="AC117" i="18"/>
  <c r="AC116" i="18"/>
  <c r="AC115" i="18"/>
  <c r="AC113" i="18"/>
  <c r="AC112" i="18"/>
  <c r="AC111" i="18"/>
  <c r="AC110" i="18"/>
  <c r="AC109" i="18"/>
  <c r="AC108" i="18"/>
  <c r="AC107" i="18"/>
  <c r="AC106" i="18"/>
  <c r="AC105" i="18"/>
  <c r="AC104" i="18"/>
  <c r="AC103" i="18"/>
  <c r="AC102" i="18"/>
  <c r="AC101" i="18"/>
  <c r="AC100" i="18"/>
  <c r="AC99" i="18"/>
  <c r="AC98" i="18"/>
  <c r="AC97" i="18"/>
  <c r="AC96" i="18"/>
  <c r="AC95" i="18"/>
  <c r="AC94" i="18"/>
  <c r="AJ9" i="18"/>
  <c r="AV87" i="18"/>
  <c r="AU87" i="18"/>
  <c r="AV86" i="18"/>
  <c r="AU86" i="18"/>
  <c r="AV85" i="18"/>
  <c r="AU85" i="18"/>
  <c r="AV84" i="18"/>
  <c r="AU84" i="18"/>
  <c r="AV83" i="18"/>
  <c r="AU83" i="18"/>
  <c r="AV82" i="18"/>
  <c r="AU82" i="18"/>
  <c r="AV81" i="18"/>
  <c r="AU81" i="18"/>
  <c r="AV80" i="18"/>
  <c r="AU80" i="18"/>
  <c r="AV79" i="18"/>
  <c r="AU79" i="18"/>
  <c r="AV78" i="18"/>
  <c r="AU78" i="18"/>
  <c r="AV77" i="18"/>
  <c r="AU77" i="18"/>
  <c r="AV76" i="18"/>
  <c r="AU76" i="18"/>
  <c r="AV75" i="18"/>
  <c r="AU75" i="18"/>
  <c r="AV74" i="18"/>
  <c r="AU74" i="18"/>
  <c r="AV73" i="18"/>
  <c r="AU73" i="18"/>
  <c r="AV72" i="18"/>
  <c r="AU72" i="18"/>
  <c r="AV71" i="18"/>
  <c r="AU71" i="18"/>
  <c r="AV70" i="18"/>
  <c r="AU70" i="18"/>
  <c r="AV69" i="18"/>
  <c r="AU69" i="18"/>
  <c r="AV68" i="18"/>
  <c r="AU68" i="18"/>
  <c r="AV67" i="18"/>
  <c r="AU67" i="18"/>
  <c r="AV66" i="18"/>
  <c r="AU66" i="18"/>
  <c r="AV65" i="18"/>
  <c r="AU65" i="18"/>
  <c r="AV64" i="18"/>
  <c r="AU64" i="18"/>
  <c r="AV63" i="18"/>
  <c r="AU63" i="18"/>
  <c r="AV62" i="18"/>
  <c r="AU62" i="18"/>
  <c r="AV61" i="18"/>
  <c r="AU61" i="18"/>
  <c r="AV60" i="18"/>
  <c r="AU60" i="18"/>
  <c r="AV59" i="18"/>
  <c r="AU59" i="18"/>
  <c r="AV58" i="18"/>
  <c r="AU58" i="18"/>
  <c r="AV57" i="18"/>
  <c r="AU57" i="18"/>
  <c r="AV56" i="18"/>
  <c r="AU56" i="18"/>
  <c r="AV55" i="18"/>
  <c r="AU55" i="18"/>
  <c r="AV54" i="18"/>
  <c r="AU54" i="18"/>
  <c r="AV53" i="18"/>
  <c r="AU53" i="18"/>
  <c r="AV52" i="18"/>
  <c r="AU52" i="18"/>
  <c r="AV51" i="18"/>
  <c r="AU51" i="18"/>
  <c r="AV50" i="18"/>
  <c r="AU50" i="18"/>
  <c r="AV49" i="18"/>
  <c r="AU49" i="18"/>
  <c r="AV48" i="18"/>
  <c r="AU48" i="18"/>
  <c r="AV47" i="18"/>
  <c r="AU47" i="18"/>
  <c r="AV46" i="18"/>
  <c r="AU46" i="18"/>
  <c r="AV45" i="18"/>
  <c r="AU45" i="18"/>
  <c r="AV44" i="18"/>
  <c r="AU44" i="18"/>
  <c r="AV43" i="18"/>
  <c r="AU43" i="18"/>
  <c r="AV42" i="18"/>
  <c r="AU42" i="18"/>
  <c r="AV41" i="18"/>
  <c r="AU41" i="18"/>
  <c r="AV40" i="18"/>
  <c r="AU40" i="18"/>
  <c r="AV39" i="18"/>
  <c r="AU39" i="18"/>
  <c r="AV38" i="18"/>
  <c r="AU38" i="18"/>
  <c r="AV37" i="18"/>
  <c r="AU37" i="18"/>
  <c r="AV36" i="18"/>
  <c r="AU36" i="18"/>
  <c r="AV35" i="18"/>
  <c r="AU35" i="18"/>
  <c r="AV34" i="18"/>
  <c r="AU34" i="18"/>
  <c r="AV33" i="18"/>
  <c r="AU33" i="18"/>
  <c r="AV32" i="18"/>
  <c r="AU32" i="18"/>
  <c r="AV31" i="18"/>
  <c r="AU31" i="18"/>
  <c r="AV30" i="18"/>
  <c r="AU30" i="18"/>
  <c r="AV29" i="18"/>
  <c r="AU29" i="18"/>
  <c r="AV28" i="18"/>
  <c r="AU28" i="18"/>
  <c r="AV27" i="18"/>
  <c r="AU27" i="18"/>
  <c r="AV26" i="18"/>
  <c r="AU26" i="18"/>
  <c r="AV25" i="18"/>
  <c r="AU25" i="18"/>
  <c r="AV24" i="18"/>
  <c r="AU24" i="18"/>
  <c r="AV23" i="18"/>
  <c r="AU23" i="18"/>
  <c r="AV22" i="18"/>
  <c r="AU22" i="18"/>
  <c r="AV21" i="18"/>
  <c r="AU21" i="18"/>
  <c r="AV20" i="18"/>
  <c r="AU20" i="18"/>
  <c r="AV19" i="18"/>
  <c r="AU19" i="18"/>
  <c r="AV18" i="18"/>
  <c r="AU18" i="18"/>
  <c r="AV17" i="18"/>
  <c r="AU17" i="18"/>
  <c r="AV16" i="18"/>
  <c r="AU16" i="18"/>
  <c r="AV15" i="18"/>
  <c r="AU15" i="18"/>
  <c r="AV14" i="18"/>
  <c r="AU14" i="18"/>
  <c r="AV13" i="18"/>
  <c r="AU13" i="18"/>
  <c r="AV12" i="18"/>
  <c r="AU12" i="18"/>
  <c r="AV11" i="18"/>
  <c r="AU11" i="18"/>
  <c r="AV10" i="18"/>
  <c r="AU10" i="18"/>
  <c r="AV9" i="18"/>
  <c r="AU9" i="18"/>
  <c r="AV8" i="18"/>
  <c r="AU8" i="18"/>
  <c r="AV7" i="18"/>
  <c r="AU7" i="18"/>
  <c r="AV6" i="18"/>
  <c r="AU6" i="18"/>
  <c r="AV5" i="18"/>
  <c r="AU5" i="18"/>
  <c r="AV4" i="18"/>
  <c r="AU4" i="18"/>
  <c r="AV3" i="18"/>
  <c r="AU3" i="18"/>
  <c r="AV2" i="18"/>
  <c r="AU2" i="18"/>
  <c r="AP59" i="18"/>
  <c r="AQ59" i="18" s="1"/>
  <c r="AP58" i="18"/>
  <c r="AQ58" i="18" s="1"/>
  <c r="AP57" i="18"/>
  <c r="AQ57" i="18" s="1"/>
  <c r="AP56" i="18"/>
  <c r="AQ56" i="18" s="1"/>
  <c r="AP55" i="18"/>
  <c r="AQ55" i="18" s="1"/>
  <c r="AP54" i="18"/>
  <c r="AQ54" i="18" s="1"/>
  <c r="AP53" i="18"/>
  <c r="AQ53" i="18" s="1"/>
  <c r="AP52" i="18"/>
  <c r="AQ52" i="18" s="1"/>
  <c r="AP51" i="18"/>
  <c r="AQ51" i="18" s="1"/>
  <c r="AP50" i="18"/>
  <c r="AQ50" i="18" s="1"/>
  <c r="AP49" i="18"/>
  <c r="AQ49" i="18" s="1"/>
  <c r="AP48" i="18"/>
  <c r="AQ48" i="18" s="1"/>
  <c r="AP47" i="18"/>
  <c r="AQ47" i="18" s="1"/>
  <c r="AP46" i="18"/>
  <c r="AQ46" i="18" s="1"/>
  <c r="AP45" i="18"/>
  <c r="AQ45" i="18" s="1"/>
  <c r="AP44" i="18"/>
  <c r="AQ44" i="18" s="1"/>
  <c r="AP43" i="18"/>
  <c r="AQ43" i="18" s="1"/>
  <c r="AP42" i="18"/>
  <c r="AQ42" i="18" s="1"/>
  <c r="AP41" i="18"/>
  <c r="AQ41" i="18" s="1"/>
  <c r="AP40" i="18"/>
  <c r="AQ40" i="18" s="1"/>
  <c r="AP39" i="18"/>
  <c r="AQ39" i="18" s="1"/>
  <c r="AP38" i="18"/>
  <c r="AQ38" i="18" s="1"/>
  <c r="AP37" i="18"/>
  <c r="AQ37" i="18" s="1"/>
  <c r="AP36" i="18"/>
  <c r="AQ36" i="18" s="1"/>
  <c r="AP35" i="18"/>
  <c r="AQ35" i="18" s="1"/>
  <c r="AP34" i="18"/>
  <c r="AQ34" i="18" s="1"/>
  <c r="AP33" i="18"/>
  <c r="AQ33" i="18" s="1"/>
  <c r="AP32" i="18"/>
  <c r="AQ32" i="18" s="1"/>
  <c r="AP31" i="18"/>
  <c r="AQ31" i="18" s="1"/>
  <c r="AP30" i="18"/>
  <c r="AQ30" i="18" s="1"/>
  <c r="AP29" i="18"/>
  <c r="AQ29" i="18" s="1"/>
  <c r="AP28" i="18"/>
  <c r="AQ28" i="18" s="1"/>
  <c r="AP27" i="18"/>
  <c r="AQ27" i="18" s="1"/>
  <c r="AP26" i="18"/>
  <c r="AQ26" i="18" s="1"/>
  <c r="AP25" i="18"/>
  <c r="AQ25" i="18" s="1"/>
  <c r="AP24" i="18"/>
  <c r="AQ24" i="18" s="1"/>
  <c r="AP23" i="18"/>
  <c r="AQ23" i="18" s="1"/>
  <c r="AP22" i="18"/>
  <c r="AQ22" i="18" s="1"/>
  <c r="AP21" i="18"/>
  <c r="AQ21" i="18" s="1"/>
  <c r="AP20" i="18"/>
  <c r="AQ20" i="18" s="1"/>
  <c r="AP19" i="18"/>
  <c r="AQ19" i="18" s="1"/>
  <c r="AP18" i="18"/>
  <c r="AQ18" i="18" s="1"/>
  <c r="AP17" i="18"/>
  <c r="AQ17" i="18" s="1"/>
  <c r="AP14" i="18"/>
  <c r="AP15" i="18"/>
  <c r="AR4" i="18"/>
  <c r="E9" i="18" s="1"/>
  <c r="AR2" i="18"/>
  <c r="E8" i="18" s="1"/>
  <c r="AL18" i="18"/>
  <c r="AL17" i="18"/>
  <c r="AL16" i="18"/>
  <c r="AL15" i="18"/>
  <c r="AL14" i="18"/>
  <c r="AL13" i="18"/>
  <c r="AM18" i="18"/>
  <c r="AM17" i="18"/>
  <c r="AM16" i="18"/>
  <c r="AM15" i="18"/>
  <c r="AM14" i="18"/>
  <c r="AM13" i="18"/>
  <c r="AP2" i="18"/>
  <c r="AP5" i="18"/>
  <c r="AP9" i="18"/>
  <c r="AP12" i="18"/>
  <c r="AP11" i="18"/>
  <c r="AP10" i="18"/>
  <c r="AP8" i="18"/>
  <c r="AP7" i="18"/>
  <c r="AP6" i="18"/>
  <c r="AH36" i="18"/>
  <c r="E5" i="18" s="1"/>
  <c r="AP4" i="18"/>
  <c r="AP3" i="18"/>
  <c r="AL11" i="18"/>
  <c r="AL10" i="18"/>
  <c r="AL9" i="18"/>
  <c r="AL8" i="18"/>
  <c r="AL7" i="18"/>
  <c r="AL6" i="18"/>
  <c r="AL5" i="18"/>
  <c r="AL4" i="18"/>
  <c r="AL3" i="18"/>
  <c r="AL2" i="18"/>
  <c r="AM11" i="18"/>
  <c r="AM10" i="18"/>
  <c r="AM9" i="18"/>
  <c r="AM8" i="18"/>
  <c r="AM7" i="18"/>
  <c r="AM6" i="18"/>
  <c r="AM5" i="18"/>
  <c r="AM4" i="18"/>
  <c r="AM3" i="18"/>
  <c r="AM2" i="18"/>
  <c r="AH47" i="18"/>
  <c r="AF47" i="18"/>
  <c r="AF44" i="18"/>
  <c r="AF43" i="18"/>
  <c r="AF42" i="18"/>
  <c r="AC42" i="18"/>
  <c r="AF41" i="18"/>
  <c r="AC41" i="18"/>
  <c r="AF40" i="18"/>
  <c r="AC40" i="18"/>
  <c r="AF39" i="18"/>
  <c r="AC39" i="18"/>
  <c r="AF38" i="18"/>
  <c r="AC38" i="18"/>
  <c r="AF37" i="18"/>
  <c r="AC37" i="18"/>
  <c r="AF36" i="18"/>
  <c r="AC36" i="18"/>
  <c r="AF35" i="18"/>
  <c r="AC35" i="18"/>
  <c r="AH34" i="18"/>
  <c r="E3" i="18" s="1"/>
  <c r="AF34" i="18"/>
  <c r="AC34" i="18"/>
  <c r="AF33" i="18"/>
  <c r="AC33" i="18"/>
  <c r="AH32" i="18"/>
  <c r="AF32" i="18"/>
  <c r="AC32" i="18"/>
  <c r="AF31" i="18"/>
  <c r="AC31" i="18"/>
  <c r="AF30" i="18"/>
  <c r="AC30" i="18"/>
  <c r="AH29" i="18"/>
  <c r="AF29" i="18"/>
  <c r="AC29" i="18"/>
  <c r="AH28" i="18"/>
  <c r="AF28" i="18"/>
  <c r="AC28" i="18"/>
  <c r="AH27" i="18"/>
  <c r="AF27" i="18"/>
  <c r="AC27" i="18"/>
  <c r="AJ26" i="18"/>
  <c r="AH26" i="18"/>
  <c r="AF26" i="18"/>
  <c r="AC26" i="18"/>
  <c r="AJ25" i="18"/>
  <c r="AH25" i="18"/>
  <c r="AF25" i="18"/>
  <c r="AC25" i="18"/>
  <c r="AJ24" i="18"/>
  <c r="AH24" i="18"/>
  <c r="AF24" i="18"/>
  <c r="AC24" i="18"/>
  <c r="AJ23" i="18"/>
  <c r="AH23" i="18"/>
  <c r="AF23" i="18"/>
  <c r="AC23" i="18"/>
  <c r="AJ22" i="18"/>
  <c r="AH22" i="18"/>
  <c r="AF22" i="18"/>
  <c r="AC22" i="18"/>
  <c r="AJ21" i="18"/>
  <c r="AH21" i="18"/>
  <c r="AF21" i="18"/>
  <c r="AC21" i="18"/>
  <c r="AH20" i="18"/>
  <c r="AF20" i="18"/>
  <c r="AC20" i="18"/>
  <c r="AH19" i="18"/>
  <c r="AF19" i="18"/>
  <c r="AC19" i="18"/>
  <c r="AJ18" i="18"/>
  <c r="AH18" i="18"/>
  <c r="AF18" i="18"/>
  <c r="AC18" i="18"/>
  <c r="AJ17" i="18"/>
  <c r="AH17" i="18"/>
  <c r="AF17" i="18"/>
  <c r="AC17" i="18"/>
  <c r="AJ16" i="18"/>
  <c r="AF16" i="18"/>
  <c r="AC16" i="18"/>
  <c r="AJ15" i="18"/>
  <c r="AF15" i="18"/>
  <c r="AC15" i="18"/>
  <c r="AJ14" i="18"/>
  <c r="AH14" i="18"/>
  <c r="AF14" i="18"/>
  <c r="AC14" i="18"/>
  <c r="AJ13" i="18"/>
  <c r="AH13" i="18"/>
  <c r="AF13" i="18"/>
  <c r="AC13" i="18"/>
  <c r="AJ12" i="18"/>
  <c r="AF12" i="18"/>
  <c r="AC12" i="18"/>
  <c r="AJ11" i="18"/>
  <c r="AF11" i="18"/>
  <c r="AC11" i="18"/>
  <c r="AJ10" i="18"/>
  <c r="AH10" i="18"/>
  <c r="AF10" i="18"/>
  <c r="AC10" i="18"/>
  <c r="AH9" i="18"/>
  <c r="AF9" i="18"/>
  <c r="AC9" i="18"/>
  <c r="AF8" i="18"/>
  <c r="AW11" i="18" l="1"/>
  <c r="AW3" i="18"/>
  <c r="AW5" i="18"/>
  <c r="AW7" i="18"/>
  <c r="AW9" i="18"/>
  <c r="AW13" i="18"/>
  <c r="AW15" i="18"/>
  <c r="AW17" i="18"/>
  <c r="AW19" i="18"/>
  <c r="AW21" i="18"/>
  <c r="AW23" i="18"/>
  <c r="AW25" i="18"/>
  <c r="AW27" i="18"/>
  <c r="AW29" i="18"/>
  <c r="AW31" i="18"/>
  <c r="AW33" i="18"/>
  <c r="AW35" i="18"/>
  <c r="AW37" i="18"/>
  <c r="AW39" i="18"/>
  <c r="AW41" i="18"/>
  <c r="AW49" i="18"/>
  <c r="AN4" i="18"/>
  <c r="AN8" i="18"/>
  <c r="AN3" i="18"/>
  <c r="AN11" i="18"/>
  <c r="AN18" i="18"/>
  <c r="AW43" i="18"/>
  <c r="AW45" i="18"/>
  <c r="AW47" i="18"/>
  <c r="AW51" i="18"/>
  <c r="AW53" i="18"/>
  <c r="AW55" i="18"/>
  <c r="AW57" i="18"/>
  <c r="AW59" i="18"/>
  <c r="AW61" i="18"/>
  <c r="AW63" i="18"/>
  <c r="AW65" i="18"/>
  <c r="AW67" i="18"/>
  <c r="AW69" i="18"/>
  <c r="AW71" i="18"/>
  <c r="AW73" i="18"/>
  <c r="AW75" i="18"/>
  <c r="AW77" i="18"/>
  <c r="AW79" i="18"/>
  <c r="AW81" i="18"/>
  <c r="AW83" i="18"/>
  <c r="AW85" i="18"/>
  <c r="AW87" i="18"/>
  <c r="AW2" i="18"/>
  <c r="AW6" i="18"/>
  <c r="AW16" i="18"/>
  <c r="AW18" i="18"/>
  <c r="AW42" i="18"/>
  <c r="AN13" i="18"/>
  <c r="AN17" i="18"/>
  <c r="AW86" i="18"/>
  <c r="AN16" i="18"/>
  <c r="AN15" i="18"/>
  <c r="AN14" i="18"/>
  <c r="AN7" i="18"/>
  <c r="AW24" i="18"/>
  <c r="AW52" i="18"/>
  <c r="AW56" i="18"/>
  <c r="AN5" i="18"/>
  <c r="AN9" i="18"/>
  <c r="AN2" i="18"/>
  <c r="AN6" i="18"/>
  <c r="AN10" i="18"/>
  <c r="AW4" i="18"/>
  <c r="AW8" i="18"/>
  <c r="AW10" i="18"/>
  <c r="AW12" i="18"/>
  <c r="AW14" i="18"/>
  <c r="AW20" i="18"/>
  <c r="AW22" i="18"/>
  <c r="AW26" i="18"/>
  <c r="AW28" i="18"/>
  <c r="AW30" i="18"/>
  <c r="AW32" i="18"/>
  <c r="AW34" i="18"/>
  <c r="AW36" i="18"/>
  <c r="AW38" i="18"/>
  <c r="AW40" i="18"/>
  <c r="AW44" i="18"/>
  <c r="AW46" i="18"/>
  <c r="AW48" i="18"/>
  <c r="AW50" i="18"/>
  <c r="AW54" i="18"/>
  <c r="AW58" i="18"/>
  <c r="AW60" i="18"/>
  <c r="AW62" i="18"/>
  <c r="AW64" i="18"/>
  <c r="AW66" i="18"/>
  <c r="AW68" i="18"/>
  <c r="AW70" i="18"/>
  <c r="AW72" i="18"/>
  <c r="AW74" i="18"/>
  <c r="AW76" i="18"/>
  <c r="AW78" i="18"/>
  <c r="AW80" i="18"/>
  <c r="AW82" i="18"/>
  <c r="AW84" i="18"/>
  <c r="K13" i="18"/>
  <c r="K12" i="18"/>
  <c r="H10" i="18"/>
  <c r="H9" i="18"/>
  <c r="H8" i="18"/>
  <c r="AC89" i="18"/>
  <c r="AJ132" i="18"/>
  <c r="AH109" i="18"/>
  <c r="K3" i="18" s="1"/>
  <c r="AH93" i="18"/>
  <c r="K2" i="18" s="1"/>
  <c r="AC91" i="18"/>
  <c r="AF91" i="18"/>
  <c r="AF92" i="18"/>
  <c r="AC92" i="18"/>
  <c r="AC90" i="18"/>
  <c r="AF89" i="18"/>
  <c r="AF90" i="18"/>
  <c r="E6" i="18"/>
  <c r="AP60" i="18"/>
  <c r="B8" i="18"/>
  <c r="B10" i="18"/>
  <c r="B9" i="18"/>
  <c r="AJ27" i="18"/>
  <c r="E4" i="18" s="1"/>
  <c r="AJ19" i="18"/>
  <c r="E2" i="18" s="1"/>
  <c r="AH15" i="18"/>
  <c r="AF3" i="18"/>
  <c r="AH30" i="18"/>
  <c r="AF6" i="18"/>
  <c r="AC6" i="18"/>
  <c r="AH11" i="18"/>
  <c r="AF4" i="18"/>
  <c r="AF2" i="18"/>
  <c r="AC4" i="18"/>
  <c r="AC2" i="18"/>
  <c r="AC3" i="18"/>
  <c r="K4" i="18" l="1"/>
  <c r="E7" i="18"/>
  <c r="B2" i="18"/>
  <c r="E22" i="18"/>
  <c r="E21" i="18"/>
  <c r="H3" i="18"/>
  <c r="H4" i="18"/>
  <c r="H2" i="18"/>
  <c r="E17" i="18"/>
  <c r="E16" i="18"/>
  <c r="E12" i="18"/>
  <c r="E11" i="18"/>
  <c r="B4" i="18"/>
  <c r="B3" i="18"/>
  <c r="AF5" i="18"/>
  <c r="AC5" i="1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33E4108-147B-4631-82AE-6BBC5575E9F1}" keepAlive="1" interval="1" name="Consulta - DOLAR" description="Conexão com a consulta 'DOLAR' na pasta de trabalho." type="5" refreshedVersion="7" background="1" refreshOnLoad="1" saveData="1">
    <dbPr connection="Provider=Microsoft.Mashup.OleDb.1;Data Source=$Workbook$;Location=DOLAR;Extended Properties=&quot;&quot;" command="SELECT * FROM [DOLAR]"/>
  </connection>
  <connection id="2" xr16:uid="{C386A19C-773F-4A6B-953C-626EF1EF8A43}" keepAlive="1" interval="1" name="Consulta - DOLAR (2)" description="Conexão com a consulta 'DOLAR (2)' na pasta de trabalho." type="5" refreshedVersion="7" background="1" refreshOnLoad="1" saveData="1">
    <dbPr connection="Provider=Microsoft.Mashup.OleDb.1;Data Source=$Workbook$;Location=&quot;DOLAR (2)&quot;;Extended Properties=&quot;&quot;" command="SELECT * FROM [DOLAR (2)]"/>
  </connection>
</connections>
</file>

<file path=xl/sharedStrings.xml><?xml version="1.0" encoding="utf-8"?>
<sst xmlns="http://schemas.openxmlformats.org/spreadsheetml/2006/main" count="690" uniqueCount="323">
  <si>
    <t>INDFUT</t>
  </si>
  <si>
    <t>DI1F24</t>
  </si>
  <si>
    <t>DI1F25</t>
  </si>
  <si>
    <t>DI1F26</t>
  </si>
  <si>
    <t>DI1F27</t>
  </si>
  <si>
    <t>DI1F28</t>
  </si>
  <si>
    <t>DI1F29</t>
  </si>
  <si>
    <t>DI1F30</t>
  </si>
  <si>
    <t>DI1F31</t>
  </si>
  <si>
    <t>DI1F32</t>
  </si>
  <si>
    <t>DI1F33</t>
  </si>
  <si>
    <t>DI1F34</t>
  </si>
  <si>
    <t>DI1F35</t>
  </si>
  <si>
    <t>JUROS</t>
  </si>
  <si>
    <t>DI1F36</t>
  </si>
  <si>
    <t>WINFUT</t>
  </si>
  <si>
    <t>USD/JPY</t>
  </si>
  <si>
    <t>USD/EUR</t>
  </si>
  <si>
    <t>USD/CNH</t>
  </si>
  <si>
    <t>USD/CAD</t>
  </si>
  <si>
    <t>USD/CZK</t>
  </si>
  <si>
    <t>USD/INR</t>
  </si>
  <si>
    <t>USD/CHF</t>
  </si>
  <si>
    <t>USD/GBP</t>
  </si>
  <si>
    <t>USD/RUB</t>
  </si>
  <si>
    <t>GUIDE</t>
  </si>
  <si>
    <t>BRADESCO</t>
  </si>
  <si>
    <t>TORO</t>
  </si>
  <si>
    <t>GENIAL</t>
  </si>
  <si>
    <t>BGC</t>
  </si>
  <si>
    <t>XP</t>
  </si>
  <si>
    <t>CLEAR</t>
  </si>
  <si>
    <t>ITAU</t>
  </si>
  <si>
    <t>ATIVA</t>
  </si>
  <si>
    <t>NOVA FUTURA</t>
  </si>
  <si>
    <t>TULLETT</t>
  </si>
  <si>
    <t>EASYNVEST</t>
  </si>
  <si>
    <t>NECTON</t>
  </si>
  <si>
    <t>MIRAE</t>
  </si>
  <si>
    <t>SANTANDER</t>
  </si>
  <si>
    <t>C6 BANK</t>
  </si>
  <si>
    <t>INTER</t>
  </si>
  <si>
    <t>MASTER</t>
  </si>
  <si>
    <t>SAFRA</t>
  </si>
  <si>
    <t>CREDIT SUISSE</t>
  </si>
  <si>
    <t>ABN</t>
  </si>
  <si>
    <t>WARREN</t>
  </si>
  <si>
    <t>RENASCENCA</t>
  </si>
  <si>
    <t>TERRA</t>
  </si>
  <si>
    <t>CITIGROUP</t>
  </si>
  <si>
    <t>ORAMA</t>
  </si>
  <si>
    <t>COMMCOR</t>
  </si>
  <si>
    <t>AGORA</t>
  </si>
  <si>
    <t>ICAP</t>
  </si>
  <si>
    <t>LEV</t>
  </si>
  <si>
    <t>CM CAPITAL</t>
  </si>
  <si>
    <t>BTG</t>
  </si>
  <si>
    <t>MERRILL LYNCH</t>
  </si>
  <si>
    <t>UBS</t>
  </si>
  <si>
    <t>MORGAN STANLEY</t>
  </si>
  <si>
    <t>IDEAL</t>
  </si>
  <si>
    <t>GOLDMAN SACHS</t>
  </si>
  <si>
    <t>JP MORGAN</t>
  </si>
  <si>
    <t>VOLUME FINANCEIRO</t>
  </si>
  <si>
    <t>CORRETORA</t>
  </si>
  <si>
    <t>Nº</t>
  </si>
  <si>
    <t>ESTRANGEIRO</t>
  </si>
  <si>
    <t>PARIDADES</t>
  </si>
  <si>
    <t>USD/ARS</t>
  </si>
  <si>
    <t>USD/TRY</t>
  </si>
  <si>
    <t>USD/ZAR</t>
  </si>
  <si>
    <t>DOLFUT</t>
  </si>
  <si>
    <t>WDOFUT</t>
  </si>
  <si>
    <t>DOLAR</t>
  </si>
  <si>
    <t>INDICE</t>
  </si>
  <si>
    <t>CPF</t>
  </si>
  <si>
    <t>FC STONE</t>
  </si>
  <si>
    <t>INDJ24</t>
  </si>
  <si>
    <t>WINJ24</t>
  </si>
  <si>
    <t>SALDO</t>
  </si>
  <si>
    <t>PETR4</t>
  </si>
  <si>
    <t>PETR3</t>
  </si>
  <si>
    <t>ITUB4</t>
  </si>
  <si>
    <t>VALE3</t>
  </si>
  <si>
    <t>ABEV3</t>
  </si>
  <si>
    <t>BPAC11</t>
  </si>
  <si>
    <t>WEGE3</t>
  </si>
  <si>
    <t>BBAS3</t>
  </si>
  <si>
    <t>BBDC3</t>
  </si>
  <si>
    <t>ELET3</t>
  </si>
  <si>
    <t>AÇÕES TOP 10</t>
  </si>
  <si>
    <t>IBOV</t>
  </si>
  <si>
    <t>VALE</t>
  </si>
  <si>
    <t>PBR</t>
  </si>
  <si>
    <t>ITUB</t>
  </si>
  <si>
    <t>BBD</t>
  </si>
  <si>
    <t>ABEV</t>
  </si>
  <si>
    <t>GGB</t>
  </si>
  <si>
    <t>ADR'S</t>
  </si>
  <si>
    <t>DI1FUT</t>
  </si>
  <si>
    <t>SMLL</t>
  </si>
  <si>
    <t>SMAL CAPS</t>
  </si>
  <si>
    <t>BRL/USD</t>
  </si>
  <si>
    <t>BRL/JPY</t>
  </si>
  <si>
    <t>BRL/EUR</t>
  </si>
  <si>
    <t>BRL/MXN</t>
  </si>
  <si>
    <t xml:space="preserve">AÇÕES </t>
  </si>
  <si>
    <t>BANCOS</t>
  </si>
  <si>
    <t>DOLK24</t>
  </si>
  <si>
    <t>WDOK24</t>
  </si>
  <si>
    <t>Coluna1</t>
  </si>
  <si>
    <t>Coluna2</t>
  </si>
  <si>
    <t>Coluna3</t>
  </si>
  <si>
    <t>TOTAL</t>
  </si>
  <si>
    <t>ALFA</t>
  </si>
  <si>
    <t>MERCANTIL</t>
  </si>
  <si>
    <t xml:space="preserve">                              INDFUT + WINFUT</t>
  </si>
  <si>
    <t xml:space="preserve">                                DOLFUT + WDOFUT</t>
  </si>
  <si>
    <t xml:space="preserve">                              JUROS</t>
  </si>
  <si>
    <t xml:space="preserve">              JUROS FUTURO</t>
  </si>
  <si>
    <t xml:space="preserve">                           AÇÕES</t>
  </si>
  <si>
    <t xml:space="preserve">                SMALL CAPS</t>
  </si>
  <si>
    <t>BRL/CNH</t>
  </si>
  <si>
    <t>BRL/CZK</t>
  </si>
  <si>
    <t>BRL/CAD</t>
  </si>
  <si>
    <t>BRL/INR</t>
  </si>
  <si>
    <t>BRL/CHF</t>
  </si>
  <si>
    <t xml:space="preserve">                  PARIDADES</t>
  </si>
  <si>
    <t xml:space="preserve">       AÇÕES TOP 10</t>
  </si>
  <si>
    <t xml:space="preserve">                ADR'S</t>
  </si>
  <si>
    <t>DEALRS</t>
  </si>
  <si>
    <t>USD/BRL</t>
  </si>
  <si>
    <t>USD/MXN</t>
  </si>
  <si>
    <t>OUTROS</t>
  </si>
  <si>
    <t>Nome</t>
  </si>
  <si>
    <t>Var. %</t>
  </si>
  <si>
    <t>EUA a 1 ano</t>
  </si>
  <si>
    <t>EUA a 2 anos</t>
  </si>
  <si>
    <t>EUA a 3 anos</t>
  </si>
  <si>
    <t>EUA a 5 anos</t>
  </si>
  <si>
    <t>EUA a 7 anos</t>
  </si>
  <si>
    <t>EUA a 10 anos</t>
  </si>
  <si>
    <t>EUA a 20 anos</t>
  </si>
  <si>
    <t>EUA a 30 anos</t>
  </si>
  <si>
    <t>JUROS USA</t>
  </si>
  <si>
    <t>NASDAQ</t>
  </si>
  <si>
    <t>DOW JONES</t>
  </si>
  <si>
    <t>SP500</t>
  </si>
  <si>
    <t>EWZ</t>
  </si>
  <si>
    <t>BOLSA</t>
  </si>
  <si>
    <t>USA</t>
  </si>
  <si>
    <t>IFNC</t>
  </si>
  <si>
    <t>USD</t>
  </si>
  <si>
    <t>DXY</t>
  </si>
  <si>
    <t>RRRP3</t>
  </si>
  <si>
    <t>ALOS3</t>
  </si>
  <si>
    <t>ALPA4</t>
  </si>
  <si>
    <t>ARZZ3</t>
  </si>
  <si>
    <t>ASAI3</t>
  </si>
  <si>
    <t>AZUL4</t>
  </si>
  <si>
    <t>B3SA3</t>
  </si>
  <si>
    <t>BBSE3</t>
  </si>
  <si>
    <t>BBDC4</t>
  </si>
  <si>
    <t>BRAP4</t>
  </si>
  <si>
    <t>BRKM5</t>
  </si>
  <si>
    <t>BRFS3</t>
  </si>
  <si>
    <t>CRFB3</t>
  </si>
  <si>
    <t>CCRO3</t>
  </si>
  <si>
    <t>CMIG4</t>
  </si>
  <si>
    <t>CIEL3</t>
  </si>
  <si>
    <t>COGN3</t>
  </si>
  <si>
    <t>CPLE6</t>
  </si>
  <si>
    <t>CSAN3</t>
  </si>
  <si>
    <t>CPFE3</t>
  </si>
  <si>
    <t>CMIN3</t>
  </si>
  <si>
    <t>CVCB3</t>
  </si>
  <si>
    <t>CYRE3</t>
  </si>
  <si>
    <t>DXCO3</t>
  </si>
  <si>
    <t>ELET6</t>
  </si>
  <si>
    <t>EMBR3</t>
  </si>
  <si>
    <t>ENGI11</t>
  </si>
  <si>
    <t>ENEV3</t>
  </si>
  <si>
    <t>EGIE3</t>
  </si>
  <si>
    <t>EQTL3</t>
  </si>
  <si>
    <t>EZTC3</t>
  </si>
  <si>
    <t>FLRY3</t>
  </si>
  <si>
    <t>GGBR4</t>
  </si>
  <si>
    <t>GOAU4</t>
  </si>
  <si>
    <t>NTCO3</t>
  </si>
  <si>
    <t>SOMA3</t>
  </si>
  <si>
    <t>HAPV3</t>
  </si>
  <si>
    <t>HYPE3</t>
  </si>
  <si>
    <t>IGTI11</t>
  </si>
  <si>
    <t>IRBR3</t>
  </si>
  <si>
    <t>ITSA4</t>
  </si>
  <si>
    <t>JBSS3</t>
  </si>
  <si>
    <t>KLBN11</t>
  </si>
  <si>
    <t>RENT3</t>
  </si>
  <si>
    <t>LREN3</t>
  </si>
  <si>
    <t>LWSA3</t>
  </si>
  <si>
    <t>MGLU3</t>
  </si>
  <si>
    <t>MRFG3</t>
  </si>
  <si>
    <t>BEEF3</t>
  </si>
  <si>
    <t>MRVE3</t>
  </si>
  <si>
    <t>MULT3</t>
  </si>
  <si>
    <t>PCAR3</t>
  </si>
  <si>
    <t>RECV3</t>
  </si>
  <si>
    <t>PRIO3</t>
  </si>
  <si>
    <t>PETZ3</t>
  </si>
  <si>
    <t>RADL3</t>
  </si>
  <si>
    <t>RAIZ4</t>
  </si>
  <si>
    <t>RDOR3</t>
  </si>
  <si>
    <t>RAIL3</t>
  </si>
  <si>
    <t>SBSP3</t>
  </si>
  <si>
    <t>SANB11</t>
  </si>
  <si>
    <t>SMTO3</t>
  </si>
  <si>
    <t>CSNA3</t>
  </si>
  <si>
    <t>SLCE3</t>
  </si>
  <si>
    <t>SUZB3</t>
  </si>
  <si>
    <t>TAEE11</t>
  </si>
  <si>
    <t>VIVT3</t>
  </si>
  <si>
    <t>TIMS3</t>
  </si>
  <si>
    <t>TOTS3</t>
  </si>
  <si>
    <t>TRPL4</t>
  </si>
  <si>
    <t>UGPA3</t>
  </si>
  <si>
    <t>USIM5</t>
  </si>
  <si>
    <t>VAMO3</t>
  </si>
  <si>
    <t>VBBR3</t>
  </si>
  <si>
    <t>YDUQ3</t>
  </si>
  <si>
    <t>VIVA3</t>
  </si>
  <si>
    <t>POSITIVO</t>
  </si>
  <si>
    <t>NEGATIVO</t>
  </si>
  <si>
    <t>DI1F37</t>
  </si>
  <si>
    <t>DI1F38</t>
  </si>
  <si>
    <t>DI1F39</t>
  </si>
  <si>
    <t>DI1F40</t>
  </si>
  <si>
    <t>DI1G26</t>
  </si>
  <si>
    <t>DI1H26</t>
  </si>
  <si>
    <t>DI1J26</t>
  </si>
  <si>
    <t>DI1J27</t>
  </si>
  <si>
    <t>DI1J28</t>
  </si>
  <si>
    <t>DI1J29</t>
  </si>
  <si>
    <t>DI1J30</t>
  </si>
  <si>
    <t>DI1K26</t>
  </si>
  <si>
    <t>DI1M26</t>
  </si>
  <si>
    <t>DI1N25</t>
  </si>
  <si>
    <t>DI1N26</t>
  </si>
  <si>
    <t>DI1N27</t>
  </si>
  <si>
    <t>DI1N28</t>
  </si>
  <si>
    <t>DI1N29</t>
  </si>
  <si>
    <t>DI1N30</t>
  </si>
  <si>
    <t>DI1Q26</t>
  </si>
  <si>
    <t>DI1Q25</t>
  </si>
  <si>
    <t>DI1Q27</t>
  </si>
  <si>
    <t>DI1U25</t>
  </si>
  <si>
    <t>DI1U26</t>
  </si>
  <si>
    <t>DI1V25</t>
  </si>
  <si>
    <t>DI1V26</t>
  </si>
  <si>
    <t>DI1V27</t>
  </si>
  <si>
    <t>DI1V28</t>
  </si>
  <si>
    <t>DI1V29</t>
  </si>
  <si>
    <t>DI1V30</t>
  </si>
  <si>
    <t>DI1X25</t>
  </si>
  <si>
    <t>DI1Z25</t>
  </si>
  <si>
    <t>DI1Z26</t>
  </si>
  <si>
    <t>TOTAL:</t>
  </si>
  <si>
    <t>BRL/AUD</t>
  </si>
  <si>
    <t>BRL/GBP</t>
  </si>
  <si>
    <t>PREÇO ULTIMO</t>
  </si>
  <si>
    <t>PREÇO ABERTURA</t>
  </si>
  <si>
    <t>TOP 10</t>
  </si>
  <si>
    <t>AGRESSAO</t>
  </si>
  <si>
    <t>ATIVOS</t>
  </si>
  <si>
    <t xml:space="preserve">                                 POSIÇÃO   </t>
  </si>
  <si>
    <t>DO INDICE</t>
  </si>
  <si>
    <t xml:space="preserve">                                 POSIÇÃO</t>
  </si>
  <si>
    <t>DI'S</t>
  </si>
  <si>
    <t xml:space="preserve">               JUROS</t>
  </si>
  <si>
    <t>86 AÇÕES</t>
  </si>
  <si>
    <t>10 PRICIPAIS AÇÕES</t>
  </si>
  <si>
    <t>JUROS DI'S</t>
  </si>
  <si>
    <t>PLAYERS INDICE</t>
  </si>
  <si>
    <t xml:space="preserve"> DO DOLAR</t>
  </si>
  <si>
    <t xml:space="preserve">                     POSIÇÃO </t>
  </si>
  <si>
    <t>ESTREANGEIRO</t>
  </si>
  <si>
    <t>PLAYERS DOLAR</t>
  </si>
  <si>
    <t xml:space="preserve">                      POSIÇÃO</t>
  </si>
  <si>
    <t>BOLSA USA</t>
  </si>
  <si>
    <t>AGRESSÃO WINFUT</t>
  </si>
  <si>
    <t>AGRESSÃO INDFUT</t>
  </si>
  <si>
    <t>Data/Hora</t>
  </si>
  <si>
    <t>ÍNDICE - Estrangeiro</t>
  </si>
  <si>
    <t>ÍNDICE - Bancos</t>
  </si>
  <si>
    <t>ÍNDICE - CPF</t>
  </si>
  <si>
    <t>ÍNDICE - Juros DI</t>
  </si>
  <si>
    <t>ÍNDICE - Bradesco</t>
  </si>
  <si>
    <t>ÍNDICE - UBS</t>
  </si>
  <si>
    <t>ÍNDICE - XP</t>
  </si>
  <si>
    <t>ÍNDICE - WINFUT</t>
  </si>
  <si>
    <t>ÍNDICE - INDFUT</t>
  </si>
  <si>
    <t>DÓLAR - Estrangeiro</t>
  </si>
  <si>
    <t>DÓLAR - Bancos</t>
  </si>
  <si>
    <t>DÓLAR - CPF</t>
  </si>
  <si>
    <t>DÓLAR - Juros DI</t>
  </si>
  <si>
    <t>DÓLAR - Juros USA</t>
  </si>
  <si>
    <t>DÓLAR - Bradesco</t>
  </si>
  <si>
    <t>DÓLAR - UBS</t>
  </si>
  <si>
    <t>DÓLAR - XP</t>
  </si>
  <si>
    <t>DÓLAR - WDOFUT</t>
  </si>
  <si>
    <t>DÓLAR - DOLFUT</t>
  </si>
  <si>
    <t>DI's</t>
  </si>
  <si>
    <t xml:space="preserve">                              JUROS </t>
  </si>
  <si>
    <t>DADOS</t>
  </si>
  <si>
    <t xml:space="preserve">VARIAÇÃO  </t>
  </si>
  <si>
    <t>/DOLFUT</t>
  </si>
  <si>
    <t>VARIAÇÃO</t>
  </si>
  <si>
    <t>/INDFUT</t>
  </si>
  <si>
    <t>Atributo Inválido</t>
  </si>
  <si>
    <t>Índice - WIN+IND</t>
  </si>
  <si>
    <t>Dólar - WDO+DOL</t>
  </si>
  <si>
    <t>JUROS DI's</t>
  </si>
  <si>
    <t>AGRESSÃO WDOFUT</t>
  </si>
  <si>
    <t>949,556648731231/100%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</si>
</sst>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R$&quot;#,##0.00;\-&quot;R$&quot;#,##0.00"/>
    <numFmt numFmtId="44" formatCode="_-&quot;R$&quot;* #,##0.00_-;\-&quot;R$&quot;* #,##0.00_-;_-&quot;R$&quot;* &quot;-&quot;??_-;_-@_-"/>
    <numFmt numFmtId="164" formatCode="&quot;R$&quot;#,##0.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7"/>
      <name val="Calibri"/>
      <family val="2"/>
      <scheme val="minor"/>
    </font>
    <font>
      <b/>
      <sz val="12"/>
      <color theme="7"/>
      <name val="Calibri"/>
      <family val="2"/>
      <scheme val="minor"/>
    </font>
    <font>
      <sz val="11"/>
      <color theme="1"/>
      <name val="Arial Nova"/>
      <family val="2"/>
    </font>
  </fonts>
  <fills count="12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7">
    <xf numFmtId="0" fontId="0" fillId="0" borderId="0" xfId="0"/>
    <xf numFmtId="0" fontId="0" fillId="2" borderId="0" xfId="0" applyFill="1"/>
    <xf numFmtId="0" fontId="0" fillId="3" borderId="0" xfId="0" applyFill="1"/>
    <xf numFmtId="0" fontId="0" fillId="5" borderId="0" xfId="0" applyFill="1"/>
    <xf numFmtId="0" fontId="2" fillId="3" borderId="0" xfId="0" applyFont="1" applyFill="1"/>
    <xf numFmtId="0" fontId="3" fillId="2" borderId="0" xfId="0" applyFont="1" applyFill="1"/>
    <xf numFmtId="0" fontId="3" fillId="2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164" fontId="2" fillId="3" borderId="0" xfId="1" applyNumberFormat="1" applyFont="1" applyFill="1" applyAlignment="1">
      <alignment horizontal="center"/>
    </xf>
    <xf numFmtId="7" fontId="2" fillId="3" borderId="0" xfId="1" applyNumberFormat="1" applyFont="1" applyFill="1" applyAlignment="1">
      <alignment horizontal="center"/>
    </xf>
    <xf numFmtId="0" fontId="3" fillId="0" borderId="0" xfId="0" applyFont="1" applyAlignment="1">
      <alignment horizontal="center"/>
    </xf>
    <xf numFmtId="164" fontId="3" fillId="2" borderId="0" xfId="0" applyNumberFormat="1" applyFont="1" applyFill="1" applyAlignment="1">
      <alignment horizontal="center"/>
    </xf>
    <xf numFmtId="0" fontId="3" fillId="5" borderId="0" xfId="0" applyFont="1" applyFill="1"/>
    <xf numFmtId="0" fontId="3" fillId="5" borderId="0" xfId="0" applyFont="1" applyFill="1" applyAlignment="1">
      <alignment horizontal="center"/>
    </xf>
    <xf numFmtId="164" fontId="3" fillId="5" borderId="0" xfId="0" applyNumberFormat="1" applyFont="1" applyFill="1"/>
    <xf numFmtId="164" fontId="3" fillId="4" borderId="0" xfId="0" applyNumberFormat="1" applyFont="1" applyFill="1"/>
    <xf numFmtId="164" fontId="2" fillId="4" borderId="0" xfId="0" applyNumberFormat="1" applyFont="1" applyFill="1"/>
    <xf numFmtId="0" fontId="6" fillId="5" borderId="0" xfId="0" applyFont="1" applyFill="1"/>
    <xf numFmtId="164" fontId="3" fillId="2" borderId="0" xfId="0" applyNumberFormat="1" applyFont="1" applyFill="1"/>
    <xf numFmtId="10" fontId="2" fillId="4" borderId="0" xfId="0" applyNumberFormat="1" applyFont="1" applyFill="1"/>
    <xf numFmtId="10" fontId="6" fillId="4" borderId="0" xfId="0" applyNumberFormat="1" applyFont="1" applyFill="1"/>
    <xf numFmtId="0" fontId="0" fillId="4" borderId="0" xfId="0" applyFill="1"/>
    <xf numFmtId="164" fontId="3" fillId="4" borderId="0" xfId="0" applyNumberFormat="1" applyFont="1" applyFill="1" applyAlignment="1">
      <alignment horizontal="center"/>
    </xf>
    <xf numFmtId="0" fontId="8" fillId="3" borderId="0" xfId="0" applyFont="1" applyFill="1"/>
    <xf numFmtId="0" fontId="0" fillId="10" borderId="0" xfId="0" applyFill="1"/>
    <xf numFmtId="10" fontId="5" fillId="10" borderId="0" xfId="0" applyNumberFormat="1" applyFont="1" applyFill="1" applyAlignment="1">
      <alignment horizontal="center"/>
    </xf>
    <xf numFmtId="10" fontId="8" fillId="7" borderId="0" xfId="0" applyNumberFormat="1" applyFont="1" applyFill="1"/>
    <xf numFmtId="0" fontId="8" fillId="3" borderId="0" xfId="0" applyFont="1" applyFill="1" applyAlignment="1">
      <alignment horizontal="center"/>
    </xf>
    <xf numFmtId="0" fontId="6" fillId="3" borderId="0" xfId="0" applyFont="1" applyFill="1"/>
    <xf numFmtId="164" fontId="2" fillId="4" borderId="0" xfId="0" applyNumberFormat="1" applyFont="1" applyFill="1" applyAlignment="1">
      <alignment horizontal="center"/>
    </xf>
    <xf numFmtId="4" fontId="2" fillId="4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0" fontId="2" fillId="7" borderId="0" xfId="0" applyNumberFormat="1" applyFont="1" applyFill="1"/>
    <xf numFmtId="9" fontId="2" fillId="7" borderId="0" xfId="2" applyFont="1" applyFill="1"/>
    <xf numFmtId="0" fontId="2" fillId="4" borderId="0" xfId="0" applyFont="1" applyFill="1"/>
    <xf numFmtId="10" fontId="2" fillId="4" borderId="0" xfId="2" applyNumberFormat="1" applyFont="1" applyFill="1"/>
    <xf numFmtId="0" fontId="3" fillId="10" borderId="0" xfId="0" applyFont="1" applyFill="1"/>
    <xf numFmtId="9" fontId="2" fillId="4" borderId="0" xfId="2" applyFont="1" applyFill="1"/>
    <xf numFmtId="164" fontId="2" fillId="7" borderId="0" xfId="0" applyNumberFormat="1" applyFont="1" applyFill="1"/>
    <xf numFmtId="164" fontId="2" fillId="10" borderId="0" xfId="0" applyNumberFormat="1" applyFont="1" applyFill="1"/>
    <xf numFmtId="10" fontId="2" fillId="7" borderId="0" xfId="0" applyNumberFormat="1" applyFont="1" applyFill="1" applyAlignment="1">
      <alignment horizontal="right"/>
    </xf>
    <xf numFmtId="0" fontId="2" fillId="8" borderId="0" xfId="0" applyFont="1" applyFill="1"/>
    <xf numFmtId="0" fontId="2" fillId="6" borderId="0" xfId="0" applyFont="1" applyFill="1"/>
    <xf numFmtId="164" fontId="4" fillId="5" borderId="0" xfId="0" applyNumberFormat="1" applyFont="1" applyFill="1" applyAlignment="1">
      <alignment horizontal="center"/>
    </xf>
    <xf numFmtId="164" fontId="2" fillId="5" borderId="0" xfId="0" applyNumberFormat="1" applyFont="1" applyFill="1" applyAlignment="1">
      <alignment horizontal="center"/>
    </xf>
    <xf numFmtId="164" fontId="3" fillId="5" borderId="0" xfId="0" applyNumberFormat="1" applyFont="1" applyFill="1" applyAlignment="1">
      <alignment horizontal="center"/>
    </xf>
    <xf numFmtId="0" fontId="0" fillId="11" borderId="0" xfId="0" applyFill="1"/>
    <xf numFmtId="0" fontId="3" fillId="11" borderId="0" xfId="0" applyFont="1" applyFill="1" applyAlignment="1">
      <alignment horizontal="center"/>
    </xf>
    <xf numFmtId="0" fontId="5" fillId="11" borderId="0" xfId="0" applyFont="1" applyFill="1" applyAlignment="1">
      <alignment horizontal="center"/>
    </xf>
    <xf numFmtId="0" fontId="3" fillId="11" borderId="0" xfId="0" applyFont="1" applyFill="1"/>
    <xf numFmtId="0" fontId="7" fillId="11" borderId="0" xfId="0" applyFont="1" applyFill="1"/>
    <xf numFmtId="164" fontId="6" fillId="7" borderId="0" xfId="0" applyNumberFormat="1" applyFont="1" applyFill="1"/>
    <xf numFmtId="10" fontId="2" fillId="7" borderId="0" xfId="2" applyNumberFormat="1" applyFont="1" applyFill="1" applyAlignment="1">
      <alignment horizontal="right"/>
    </xf>
    <xf numFmtId="0" fontId="0" fillId="9" borderId="0" xfId="0" applyFill="1"/>
    <xf numFmtId="0" fontId="9" fillId="7" borderId="0" xfId="0" applyFont="1" applyFill="1"/>
    <xf numFmtId="0" fontId="9" fillId="7" borderId="0" xfId="0" applyFont="1" applyFill="1" applyAlignment="1">
      <alignment horizontal="center"/>
    </xf>
    <xf numFmtId="0" fontId="9" fillId="7" borderId="0" xfId="0" applyFont="1" applyFill="1" applyAlignment="1">
      <alignment horizontal="left"/>
    </xf>
    <xf numFmtId="0" fontId="10" fillId="7" borderId="0" xfId="0" applyFont="1" applyFill="1" applyAlignment="1">
      <alignment horizontal="center"/>
    </xf>
    <xf numFmtId="10" fontId="9" fillId="7" borderId="0" xfId="0" applyNumberFormat="1" applyFont="1" applyFill="1"/>
    <xf numFmtId="0" fontId="4" fillId="7" borderId="0" xfId="0" applyFont="1" applyFill="1"/>
    <xf numFmtId="10" fontId="4" fillId="7" borderId="0" xfId="0" applyNumberFormat="1" applyFont="1" applyFill="1"/>
    <xf numFmtId="0" fontId="3" fillId="7" borderId="0" xfId="0" applyFont="1" applyFill="1" applyAlignment="1">
      <alignment horizontal="right"/>
    </xf>
    <xf numFmtId="0" fontId="9" fillId="7" borderId="0" xfId="0" applyFont="1" applyFill="1" applyAlignment="1">
      <alignment horizontal="right"/>
    </xf>
    <xf numFmtId="0" fontId="0" fillId="10" borderId="0" xfId="0" applyFill="1" applyAlignment="1">
      <alignment horizontal="center"/>
    </xf>
    <xf numFmtId="10" fontId="9" fillId="7" borderId="0" xfId="0" applyNumberFormat="1" applyFont="1" applyFill="1" applyAlignment="1">
      <alignment horizontal="left"/>
    </xf>
    <xf numFmtId="0" fontId="3" fillId="0" borderId="0" xfId="0" applyFont="1"/>
    <xf numFmtId="10" fontId="3" fillId="0" borderId="0" xfId="0" applyNumberFormat="1" applyFont="1"/>
    <xf numFmtId="22" fontId="3" fillId="0" borderId="0" xfId="0" applyNumberFormat="1" applyFont="1"/>
    <xf numFmtId="7" fontId="3" fillId="0" borderId="0" xfId="0" applyNumberFormat="1" applyFont="1"/>
    <xf numFmtId="10" fontId="2" fillId="10" borderId="0" xfId="2" applyNumberFormat="1" applyFont="1" applyFill="1" applyAlignment="1">
      <alignment horizontal="right"/>
    </xf>
    <xf numFmtId="10" fontId="2" fillId="10" borderId="0" xfId="0" applyNumberFormat="1" applyFont="1" applyFill="1" applyAlignment="1">
      <alignment horizontal="right"/>
    </xf>
    <xf numFmtId="0" fontId="3" fillId="5" borderId="0" xfId="0" applyFont="1" applyFill="1" applyAlignment="1">
      <alignment horizontal="left"/>
    </xf>
    <xf numFmtId="0" fontId="4" fillId="5" borderId="0" xfId="0" applyFont="1" applyFill="1"/>
    <xf numFmtId="0" fontId="2" fillId="7" borderId="0" xfId="0" applyFont="1" applyFill="1"/>
    <xf numFmtId="0" fontId="11" fillId="10" borderId="0" xfId="0" applyFont="1" applyFill="1"/>
    <xf numFmtId="2" fontId="3" fillId="0" borderId="0" xfId="0" applyNumberFormat="1" applyFont="1"/>
    <xf numFmtId="2" fontId="3" fillId="0" borderId="0" xfId="2" applyNumberFormat="1" applyFont="1"/>
  </cellXfs>
  <cellStyles count="3">
    <cellStyle name="Moeda" xfId="1" builtinId="4"/>
    <cellStyle name="Normal" xfId="0" builtinId="0"/>
    <cellStyle name="Porcentagem" xfId="2" builtinId="5"/>
  </cellStyles>
  <dxfs count="143">
    <dxf>
      <font>
        <b/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4" formatCode="0.00%"/>
      <fill>
        <patternFill patternType="solid">
          <fgColor indexed="64"/>
          <bgColor theme="1"/>
        </patternFill>
      </fill>
    </dxf>
    <dxf>
      <font>
        <b/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8" tint="-0.49998474074526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8" tint="-0.49998474074526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4" formatCode="0.00%"/>
      <fill>
        <patternFill patternType="solid">
          <fgColor indexed="64"/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7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&quot;R$&quot;#,##0.00"/>
      <fill>
        <patternFill patternType="solid">
          <fgColor indexed="64"/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7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&quot;R$&quot;#,##0.00"/>
      <fill>
        <patternFill patternType="solid">
          <fgColor indexed="64"/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7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&quot;R$&quot;#,##0.00"/>
      <fill>
        <patternFill patternType="solid">
          <fgColor indexed="64"/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7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4" formatCode="0.00%"/>
      <fill>
        <patternFill patternType="solid">
          <fgColor indexed="64"/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4" formatCode="0.00%"/>
      <fill>
        <patternFill patternType="solid">
          <fgColor indexed="64"/>
          <bgColor theme="1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4" formatCode="0.00%"/>
      <fill>
        <patternFill patternType="solid">
          <fgColor indexed="64"/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4" formatCode="0.00%"/>
      <fill>
        <patternFill patternType="solid">
          <fgColor indexed="64"/>
          <bgColor theme="1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4" formatCode="0.00%"/>
      <fill>
        <patternFill patternType="solid">
          <fgColor indexed="64"/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7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7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fill>
        <patternFill patternType="solid">
          <fgColor indexed="64"/>
          <bgColor theme="0" tint="-0.34998626667073579"/>
        </patternFill>
      </fill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 tint="-0.34998626667073579"/>
        </patternFill>
      </fill>
    </dxf>
    <dxf>
      <font>
        <b/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rgb="FFFFC000"/>
        </patternFill>
      </fill>
    </dxf>
    <dxf>
      <font>
        <color rgb="FF008000"/>
      </font>
    </dxf>
    <dxf>
      <font>
        <color rgb="FFFF0000"/>
      </font>
    </dxf>
    <dxf>
      <font>
        <color theme="0"/>
      </font>
    </dxf>
    <dxf>
      <font>
        <color rgb="FF008000"/>
      </font>
    </dxf>
    <dxf>
      <font>
        <color rgb="FFFF0000"/>
      </font>
    </dxf>
    <dxf>
      <font>
        <color theme="0"/>
      </font>
    </dxf>
    <dxf>
      <font>
        <color rgb="FF008000"/>
      </font>
    </dxf>
    <dxf>
      <font>
        <color rgb="FFFF0000"/>
      </font>
    </dxf>
    <dxf>
      <font>
        <color theme="0"/>
      </font>
    </dxf>
    <dxf>
      <font>
        <color rgb="FF008000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theme="0"/>
      </font>
    </dxf>
    <dxf>
      <font>
        <color rgb="FFFF0000"/>
      </font>
    </dxf>
    <dxf>
      <font>
        <color rgb="FF008000"/>
      </font>
    </dxf>
    <dxf>
      <font>
        <color theme="0" tint="-4.9989318521683403E-2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008000"/>
      </font>
    </dxf>
    <dxf>
      <font>
        <color rgb="FFFF0000"/>
      </font>
    </dxf>
    <dxf>
      <font>
        <color theme="0"/>
      </font>
    </dxf>
    <dxf>
      <font>
        <color rgb="FF008000"/>
      </font>
    </dxf>
    <dxf>
      <font>
        <color rgb="FFFF0000"/>
      </font>
    </dxf>
    <dxf>
      <font>
        <color theme="0"/>
      </font>
    </dxf>
    <dxf>
      <font>
        <color rgb="FF008000"/>
      </font>
    </dxf>
    <dxf>
      <font>
        <color rgb="FFFF0000"/>
      </font>
    </dxf>
    <dxf>
      <font>
        <color theme="0"/>
      </font>
    </dxf>
    <dxf>
      <font>
        <color rgb="FF008000"/>
      </font>
    </dxf>
    <dxf>
      <font>
        <color rgb="FFFF0000"/>
      </font>
    </dxf>
    <dxf>
      <font>
        <color theme="0"/>
      </font>
    </dxf>
    <dxf>
      <font>
        <color rgb="FF008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008000"/>
      </font>
    </dxf>
    <dxf>
      <font>
        <color rgb="FFFF0000"/>
      </font>
    </dxf>
    <dxf>
      <font>
        <color theme="0"/>
      </font>
    </dxf>
    <dxf>
      <font>
        <color rgb="FF008000"/>
      </font>
    </dxf>
    <dxf>
      <font>
        <color rgb="FFFF0000"/>
      </font>
    </dxf>
    <dxf>
      <font>
        <color theme="0"/>
      </font>
    </dxf>
    <dxf>
      <font>
        <color rgb="FF008000"/>
      </font>
    </dxf>
    <dxf>
      <font>
        <color rgb="FFFF0000"/>
      </font>
    </dxf>
    <dxf>
      <font>
        <color theme="0"/>
      </font>
    </dxf>
    <dxf>
      <font>
        <color rgb="FF008000"/>
      </font>
    </dxf>
    <dxf>
      <font>
        <color rgb="FFFF0000"/>
      </font>
    </dxf>
    <dxf>
      <font>
        <color theme="0"/>
      </font>
    </dxf>
    <dxf>
      <font>
        <color rgb="FF008000"/>
      </font>
    </dxf>
    <dxf>
      <font>
        <color rgb="FFFF0000"/>
      </font>
    </dxf>
    <dxf>
      <font>
        <color theme="0"/>
      </font>
    </dxf>
    <dxf>
      <font>
        <color rgb="FF008000"/>
      </font>
    </dxf>
    <dxf>
      <font>
        <color rgb="FFFF0000"/>
      </font>
    </dxf>
    <dxf>
      <font>
        <color theme="0"/>
      </font>
    </dxf>
    <dxf>
      <font>
        <color rgb="FF008000"/>
      </font>
      <fill>
        <patternFill>
          <fgColor theme="1"/>
        </patternFill>
      </fill>
    </dxf>
    <dxf>
      <font>
        <color rgb="FFFF0000"/>
      </font>
      <fill>
        <patternFill>
          <fgColor theme="1"/>
        </patternFill>
      </fill>
    </dxf>
    <dxf>
      <font>
        <color rgb="FF008000"/>
      </font>
    </dxf>
    <dxf>
      <font>
        <color rgb="FFFF0000"/>
      </font>
    </dxf>
    <dxf>
      <font>
        <color theme="0"/>
      </font>
    </dxf>
    <dxf>
      <font>
        <color rgb="FF008000"/>
      </font>
    </dxf>
    <dxf>
      <font>
        <color rgb="FFFF0000"/>
      </font>
    </dxf>
    <dxf>
      <font>
        <color theme="0"/>
      </font>
    </dxf>
    <dxf>
      <font>
        <color rgb="FF008000"/>
      </font>
    </dxf>
    <dxf>
      <font>
        <color rgb="FFFF0000"/>
      </font>
    </dxf>
    <dxf>
      <font>
        <color theme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8000"/>
      </font>
    </dxf>
    <dxf>
      <font>
        <color rgb="FFFF0000"/>
      </font>
    </dxf>
    <dxf>
      <font>
        <color theme="0"/>
      </font>
    </dxf>
    <dxf>
      <font>
        <color rgb="FF008000"/>
      </font>
    </dxf>
    <dxf>
      <font>
        <color rgb="FFFF0000"/>
      </font>
    </dxf>
    <dxf>
      <font>
        <color theme="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FF0000"/>
      </font>
    </dxf>
    <dxf>
      <font>
        <color rgb="FF008000"/>
      </font>
    </dxf>
    <dxf>
      <font>
        <color rgb="FF008000"/>
      </font>
    </dxf>
    <dxf>
      <font>
        <color rgb="FFFF0000"/>
      </font>
    </dxf>
  </dxfs>
  <tableStyles count="0" defaultTableStyle="TableStyleMedium2" defaultPivotStyle="PivotStyleLight16"/>
  <colors>
    <mruColors>
      <color rgb="FF008000"/>
      <color rgb="FF4A206A"/>
      <color rgb="FF003300"/>
      <color rgb="FF261036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srv.rtd">
      <tp>
        <v>5250</v>
        <stp/>
        <stp>PLAYERSRANKING</stp>
        <stp>DOLV25</stp>
        <stp>59</stp>
        <stp>SALDO</stp>
        <stp>VOLFWITHFACTOR</stp>
        <tr r="AC112" s="18"/>
      </tp>
      <tp>
        <v>4450</v>
        <stp/>
        <stp>PLAYERSRANKING</stp>
        <stp>INDV25</stp>
        <stp>59</stp>
        <stp>SALDO</stp>
        <stp>VOLFWITHFACTOR</stp>
        <tr r="AC27" s="18"/>
      </tp>
      <tp>
        <v>9809920</v>
        <stp/>
        <stp>PLAYERSRANKING</stp>
        <stp>WINV25</stp>
        <stp>59</stp>
        <stp>SALDO</stp>
        <stp>VOLFWITHFACTOR</stp>
        <tr r="AF24" s="18"/>
      </tp>
      <tp>
        <v>175097180</v>
        <stp/>
        <stp>PLAYERSRANKING</stp>
        <stp>WDOV25</stp>
        <stp>59</stp>
        <stp>SALDO</stp>
        <stp>VOLFWITHFACTOR</stp>
        <tr r="AF112" s="18"/>
      </tp>
      <tp>
        <v>17569525</v>
        <stp/>
        <stp>PLAYERSRANKING</stp>
        <stp>INDV25</stp>
        <stp>40</stp>
        <stp>SALDO</stp>
        <stp>VOLFWITHFACTOR</stp>
        <tr r="AC37" s="18"/>
      </tp>
      <tp t="s">
        <v>0</v>
        <stp/>
        <stp>PLAYERSRANKING</stp>
        <stp>INDV25</stp>
        <stp>45</stp>
        <stp>SALDO</stp>
        <stp>VOLFWITHFACTOR</stp>
        <tr r="AC15" s="18"/>
      </tp>
      <tp t="s">
        <v>0</v>
        <stp/>
        <stp>PLAYERSRANKING</stp>
        <stp>DOLV25</stp>
        <stp>45</stp>
        <stp>SALDO</stp>
        <stp>VOLFWITHFACTOR</stp>
        <tr r="AC113" s="18"/>
      </tp>
      <tp>
        <v>47951000</v>
        <stp/>
        <stp>PLAYERSRANKING</stp>
        <stp>DOLV25</stp>
        <stp>40</stp>
        <stp>SALDO</stp>
        <stp>VOLFWITHFACTOR</stp>
        <tr r="AC128" s="18"/>
      </tp>
      <tp t="s">
        <v>0</v>
        <stp/>
        <stp>PLAYERSRANKING</stp>
        <stp>WDOV25</stp>
        <stp>45</stp>
        <stp>SALDO</stp>
        <stp>VOLFWITHFACTOR</stp>
        <tr r="AF113" s="18"/>
      </tp>
      <tp>
        <v>-104243049</v>
        <stp/>
        <stp>PLAYERSRANKING</stp>
        <stp>WINV25</stp>
        <stp>40</stp>
        <stp>SALDO</stp>
        <stp>VOLFWITHFACTOR</stp>
        <tr r="AF44" s="18"/>
      </tp>
      <tp>
        <v>243568865</v>
        <stp/>
        <stp>PLAYERSRANKING</stp>
        <stp>WDOV25</stp>
        <stp>40</stp>
        <stp>SALDO</stp>
        <stp>VOLFWITHFACTOR</stp>
        <tr r="AF128" s="18"/>
      </tp>
      <tp t="s">
        <v>0</v>
        <stp/>
        <stp>PLAYERSRANKING</stp>
        <stp>INDV25</stp>
        <stp>72</stp>
        <stp>SALDO</stp>
        <stp>VOLFWITHFACTOR</stp>
        <tr r="AC36" s="18"/>
      </tp>
      <tp>
        <v>-9503725</v>
        <stp/>
        <stp>PLAYERSRANKING</stp>
        <stp>INDV25</stp>
        <stp>77</stp>
        <stp>SALDO</stp>
        <stp>VOLFWITHFACTOR</stp>
        <tr r="AC34" s="18"/>
      </tp>
      <tp>
        <v>1334500</v>
        <stp/>
        <stp>PLAYERSRANKING</stp>
        <stp>DOLV25</stp>
        <stp>77</stp>
        <stp>SALDO</stp>
        <stp>VOLFWITHFACTOR</stp>
        <tr r="AC118" s="18"/>
      </tp>
      <tp t="s">
        <v>0</v>
        <stp/>
        <stp>PLAYERSRANKING</stp>
        <stp>DOLV25</stp>
        <stp>72</stp>
        <stp>SALDO</stp>
        <stp>VOLFWITHFACTOR</stp>
        <tr r="AC95" s="18"/>
      </tp>
      <tp>
        <v>-53232540</v>
        <stp/>
        <stp>PLAYERSRANKING</stp>
        <stp>WDOV25</stp>
        <stp>77</stp>
        <stp>SALDO</stp>
        <stp>VOLFWITHFACTOR</stp>
        <tr r="AF118" s="18"/>
      </tp>
      <tp t="s">
        <v>0</v>
        <stp/>
        <stp>PLAYERSRANKING</stp>
        <stp>WINV25</stp>
        <stp>72</stp>
        <stp>SALDO</stp>
        <stp>VOLFWITHFACTOR</stp>
        <tr r="AF36" s="18"/>
      </tp>
      <tp t="s">
        <v>0</v>
        <stp/>
        <stp>PLAYERSRANKING</stp>
        <stp>WDOV25</stp>
        <stp>72</stp>
        <stp>SALDO</stp>
        <stp>VOLFWITHFACTOR</stp>
        <tr r="AF95" s="18"/>
      </tp>
      <tp t="s">
        <v>0</v>
        <stp/>
        <stp>PLAYERSRANKING</stp>
        <stp>WINV25</stp>
        <stp>190</stp>
        <stp>SALDO</stp>
        <stp>VOLFWITHFACTOR</stp>
        <tr r="AF25" s="18"/>
      </tp>
      <tp t="s">
        <v>0</v>
        <stp/>
        <stp>PLAYERSRANKING</stp>
        <stp>WDOV25</stp>
        <stp>190</stp>
        <stp>SALDO</stp>
        <stp>VOLFWITHFACTOR</stp>
        <tr r="AF115" s="18"/>
      </tp>
      <tp>
        <v>-731875</v>
        <stp/>
        <stp>PLAYERSRANKING</stp>
        <stp>INDV25</stp>
        <stp>13</stp>
        <stp>SALDO</stp>
        <stp>VOLFWITHFACTOR</stp>
        <tr r="AC41" s="18"/>
      </tp>
      <tp>
        <v>-27795775</v>
        <stp/>
        <stp>PLAYERSRANKING</stp>
        <stp>INDV25</stp>
        <stp>16</stp>
        <stp>SALDO</stp>
        <stp>VOLFWITHFACTOR</stp>
        <tr r="AC11" s="18"/>
      </tp>
      <tp t="s">
        <v>0</v>
        <stp/>
        <stp>PLAYERSRANKING</stp>
        <stp>INDV25</stp>
        <stp>15</stp>
        <stp>SALDO</stp>
        <stp>VOLFWITHFACTOR</stp>
        <tr r="AC19" s="18"/>
      </tp>
      <tp>
        <v>-202293500</v>
        <stp/>
        <stp>PLAYERSRANKING</stp>
        <stp>DOLV25</stp>
        <stp>16</stp>
        <stp>SALDO</stp>
        <stp>VOLFWITHFACTOR</stp>
        <tr r="AC131" s="18"/>
      </tp>
      <tp t="s">
        <v>0</v>
        <stp/>
        <stp>PLAYERSRANKING</stp>
        <stp>DOLV25</stp>
        <stp>15</stp>
        <stp>SALDO</stp>
        <stp>VOLFWITHFACTOR</stp>
        <tr r="AC94" s="18"/>
      </tp>
      <tp>
        <v>472071375</v>
        <stp/>
        <stp>PLAYERSRANKING</stp>
        <stp>DOLV25</stp>
        <stp>13</stp>
        <stp>SALDO</stp>
        <stp>VOLFWITHFACTOR</stp>
        <tr r="AC126" s="18"/>
      </tp>
      <tp t="s">
        <v>0</v>
        <stp/>
        <stp>PLAYERSRANKING</stp>
        <stp>WINV25</stp>
        <stp>15</stp>
        <stp>SALDO</stp>
        <stp>VOLFWITHFACTOR</stp>
        <tr r="AF13" s="18"/>
      </tp>
      <tp t="s">
        <v>0</v>
        <stp/>
        <stp>PLAYERSRANKING</stp>
        <stp>WDOV25</stp>
        <stp>15</stp>
        <stp>SALDO</stp>
        <stp>VOLFWITHFACTOR</stp>
        <tr r="AF94" s="18"/>
      </tp>
      <tp>
        <v>61275638</v>
        <stp/>
        <stp>PLAYERSRANKING</stp>
        <stp>WINV25</stp>
        <stp>16</stp>
        <stp>SALDO</stp>
        <stp>VOLFWITHFACTOR</stp>
        <tr r="AF41" s="18"/>
      </tp>
      <tp>
        <v>235890815</v>
        <stp/>
        <stp>PLAYERSRANKING</stp>
        <stp>WDOV25</stp>
        <stp>16</stp>
        <stp>SALDO</stp>
        <stp>VOLFWITHFACTOR</stp>
        <tr r="AF131" s="18"/>
      </tp>
      <tp>
        <v>56724959</v>
        <stp/>
        <stp>PLAYERSRANKING</stp>
        <stp>WINV25</stp>
        <stp>13</stp>
        <stp>SALDO</stp>
        <stp>VOLFWITHFACTOR</stp>
        <tr r="AF14" s="18"/>
      </tp>
      <tp>
        <v>-9105140</v>
        <stp/>
        <stp>PLAYERSRANKING</stp>
        <stp>WDOV25</stp>
        <stp>688</stp>
        <stp>SALDO</stp>
        <stp>VOLFWITHFACTOR</stp>
        <tr r="AF114" s="18"/>
      </tp>
      <tp>
        <v>-168</v>
        <stp/>
        <stp>PLAYERSRANKING</stp>
        <stp>WINV25</stp>
        <stp>688</stp>
        <stp>SALDO</stp>
        <stp>VOLFWITHFACTOR</stp>
        <tr r="AF28" s="18"/>
      </tp>
      <tp>
        <v>-622119000</v>
        <stp/>
        <stp>PLAYERSRANKING</stp>
        <stp>DOLV25</stp>
        <stp>39</stp>
        <stp>SALDO</stp>
        <stp>VOLFWITHFACTOR</stp>
        <tr r="AC121" s="18"/>
      </tp>
      <tp>
        <v>97396250</v>
        <stp/>
        <stp>PLAYERSRANKING</stp>
        <stp>INDV25</stp>
        <stp>39</stp>
        <stp>SALDO</stp>
        <stp>VOLFWITHFACTOR</stp>
        <tr r="AC16" s="18"/>
      </tp>
      <tp>
        <v>-60658410</v>
        <stp/>
        <stp>PLAYERSRANKING</stp>
        <stp>WINV25</stp>
        <stp>39</stp>
        <stp>SALDO</stp>
        <stp>VOLFWITHFACTOR</stp>
        <tr r="AF22" s="18"/>
      </tp>
      <tp>
        <v>254200070</v>
        <stp/>
        <stp>PLAYERSRANKING</stp>
        <stp>WDOV25</stp>
        <stp>39</stp>
        <stp>SALDO</stp>
        <stp>VOLFWITHFACTOR</stp>
        <tr r="AF121" s="18"/>
      </tp>
      <tp>
        <v>-21214600</v>
        <stp/>
        <stp>PLAYERSRANKING</stp>
        <stp>INDV25</stp>
        <stp>23</stp>
        <stp>SALDO</stp>
        <stp>VOLFWITHFACTOR</stp>
        <tr r="AC13" s="18"/>
      </tp>
      <tp>
        <v>-3998500</v>
        <stp/>
        <stp>PLAYERSRANKING</stp>
        <stp>DOLV25</stp>
        <stp>27</stp>
        <stp>SALDO</stp>
        <stp>VOLFWITHFACTOR</stp>
        <tr r="AC108" s="18"/>
      </tp>
      <tp>
        <v>61097875</v>
        <stp/>
        <stp>PLAYERSRANKING</stp>
        <stp>DOLV25</stp>
        <stp>23</stp>
        <stp>SALDO</stp>
        <stp>VOLFWITHFACTOR</stp>
        <tr r="AC106" s="18"/>
      </tp>
      <tp>
        <v>-4904595</v>
        <stp/>
        <stp>PLAYERSRANKING</stp>
        <stp>WINV25</stp>
        <stp>27</stp>
        <stp>SALDO</stp>
        <stp>VOLFWITHFACTOR</stp>
        <tr r="AF19" s="18"/>
      </tp>
      <tp>
        <v>-91785640</v>
        <stp/>
        <stp>PLAYERSRANKING</stp>
        <stp>WDOV25</stp>
        <stp>27</stp>
        <stp>SALDO</stp>
        <stp>VOLFWITHFACTOR</stp>
        <tr r="AF108" s="18"/>
      </tp>
      <tp>
        <v>51115691</v>
        <stp/>
        <stp>PLAYERSRANKING</stp>
        <stp>WINV25</stp>
        <stp>23</stp>
        <stp>SALDO</stp>
        <stp>VOLFWITHFACTOR</stp>
        <tr r="AF23" s="18"/>
      </tp>
      <tp>
        <v>475282010</v>
        <stp/>
        <stp>PLAYERSRANKING</stp>
        <stp>WDOV25</stp>
        <stp>23</stp>
        <stp>SALDO</stp>
        <stp>VOLFWITHFACTOR</stp>
        <tr r="AF106" s="18"/>
      </tp>
      <tp>
        <v>97316103</v>
        <stp/>
        <stp>PLAYERSRANKING</stp>
        <stp>WINV25</stp>
        <stp>746</stp>
        <stp>SALDO</stp>
        <stp>VOLFWITHFACTOR</stp>
        <tr r="AF10" s="18"/>
      </tp>
      <tp>
        <v>-103962433</v>
        <stp/>
        <stp>PLAYERSRANKING</stp>
        <stp>WINV25</stp>
        <stp>147</stp>
        <stp>SALDO</stp>
        <stp>VOLFWITHFACTOR</stp>
        <tr r="AF15" s="18"/>
      </tp>
      <tp>
        <v>-1432531790</v>
        <stp/>
        <stp>PLAYERSRANKING</stp>
        <stp>WDOV25</stp>
        <stp>147</stp>
        <stp>SALDO</stp>
        <stp>VOLFWITHFACTOR</stp>
        <tr r="AF102" s="18"/>
      </tp>
      <tp>
        <v>-196868250</v>
        <stp/>
        <stp>PLAYERSRANKING</stp>
        <stp>WDOV25</stp>
        <stp>746</stp>
        <stp>SALDO</stp>
        <stp>VOLFWITHFACTOR</stp>
        <tr r="AF123" s="18"/>
      </tp>
      <tp>
        <v>-5413487</v>
        <stp/>
        <stp>PLAYERSRANKING</stp>
        <stp>WINV25</stp>
        <stp>262</stp>
        <stp>SALDO</stp>
        <stp>VOLFWITHFACTOR</stp>
        <tr r="AF27" s="18"/>
      </tp>
      <tp>
        <v>188276120</v>
        <stp/>
        <stp>PLAYERSRANKING</stp>
        <stp>WDOV25</stp>
        <stp>262</stp>
        <stp>SALDO</stp>
        <stp>VOLFWITHFACTOR</stp>
        <tr r="AF107" s="18"/>
      </tp>
      <tp>
        <v>354716733</v>
        <stp/>
        <stp>PLAYERSRANKING</stp>
        <stp>WINV25</stp>
        <stp>114</stp>
        <stp>SALDO</stp>
        <stp>VOLFWITHFACTOR</stp>
        <tr r="AF42" s="18"/>
      </tp>
      <tp t="s">
        <v>0</v>
        <stp/>
        <stp>PLAYERSRANKING</stp>
        <stp>WINV25</stp>
        <stp>115</stp>
        <stp>SALDO</stp>
        <stp>VOLFWITHFACTOR</stp>
        <tr r="AF21" s="18"/>
      </tp>
      <tp t="s">
        <v>0</v>
        <stp/>
        <stp>PLAYERSRANKING</stp>
        <stp>WDOV25</stp>
        <stp>115</stp>
        <stp>SALDO</stp>
        <stp>VOLFWITHFACTOR</stp>
        <tr r="AF120" s="18"/>
      </tp>
      <tp>
        <v>763857030</v>
        <stp/>
        <stp>PLAYERSRANKING</stp>
        <stp>WDOV25</stp>
        <stp>114</stp>
        <stp>SALDO</stp>
        <stp>VOLFWITHFACTOR</stp>
        <tr r="AF101" s="18"/>
      </tp>
      <tp t="s">
        <v>0</v>
        <stp/>
        <stp>PLAYERSRANKING</stp>
        <stp>INDV25</stp>
        <stp>92</stp>
        <stp>SALDO</stp>
        <stp>VOLFWITHFACTOR</stp>
        <tr r="AC35" s="18"/>
      </tp>
      <tp>
        <v>-8058500</v>
        <stp/>
        <stp>PLAYERSRANKING</stp>
        <stp>INDV25</stp>
        <stp>93</stp>
        <stp>SALDO</stp>
        <stp>VOLFWITHFACTOR</stp>
        <tr r="AC14" s="18"/>
      </tp>
      <tp>
        <v>-77424500</v>
        <stp/>
        <stp>PLAYERSRANKING</stp>
        <stp>DOLV25</stp>
        <stp>93</stp>
        <stp>SALDO</stp>
        <stp>VOLFWITHFACTOR</stp>
        <tr r="AC103" s="18"/>
      </tp>
      <tp>
        <v>-128267000</v>
        <stp/>
        <stp>PLAYERSRANKING</stp>
        <stp>DOLV25</stp>
        <stp>92</stp>
        <stp>SALDO</stp>
        <stp>VOLFWITHFACTOR</stp>
        <tr r="AC116" s="18"/>
      </tp>
      <tp t="s">
        <v>0</v>
        <stp/>
        <stp>PLAYERSRANKING</stp>
        <stp>DOLV25</stp>
        <stp>90</stp>
        <stp>SALDO</stp>
        <stp>VOLFWITHFACTOR</stp>
        <tr r="AC105" s="18"/>
      </tp>
      <tp t="s">
        <v>0</v>
        <stp/>
        <stp>PLAYERSRANKING</stp>
        <stp>WDOV25</stp>
        <stp>90</stp>
        <stp>SALDO</stp>
        <stp>VOLFWITHFACTOR</stp>
        <tr r="AF105" s="18"/>
      </tp>
      <tp>
        <v>68028797</v>
        <stp/>
        <stp>PLAYERSRANKING</stp>
        <stp>WINV25</stp>
        <stp>92</stp>
        <stp>SALDO</stp>
        <stp>VOLFWITHFACTOR</stp>
        <tr r="AF20" s="18"/>
      </tp>
      <tp>
        <v>-194222565</v>
        <stp/>
        <stp>PLAYERSRANKING</stp>
        <stp>WDOV25</stp>
        <stp>92</stp>
        <stp>SALDO</stp>
        <stp>VOLFWITHFACTOR</stp>
        <tr r="AF116" s="18"/>
      </tp>
      <tp>
        <v>-82295376</v>
        <stp/>
        <stp>PLAYERSRANKING</stp>
        <stp>WINV25</stp>
        <stp>93</stp>
        <stp>SALDO</stp>
        <stp>VOLFWITHFACTOR</stp>
        <tr r="AF39" s="18"/>
      </tp>
      <tp>
        <v>154166980</v>
        <stp/>
        <stp>PLAYERSRANKING</stp>
        <stp>WDOV25</stp>
        <stp>93</stp>
        <stp>SALDO</stp>
        <stp>VOLFWITHFACTOR</stp>
        <tr r="AF103" s="18"/>
      </tp>
      <tp t="s">
        <v>0</v>
        <stp/>
        <stp>PLAYERSRANKING</stp>
        <stp>WDOV25</stp>
        <stp>308</stp>
        <stp>SALDO</stp>
        <stp>VOLFWITHFACTOR</stp>
        <tr r="AF100" s="18"/>
      </tp>
      <tp t="s">
        <v>0</v>
        <stp/>
        <stp>PLAYERSRANKING</stp>
        <stp>WINV25</stp>
        <stp>106</stp>
        <stp>SALDO</stp>
        <stp>VOLFWITHFACTOR</stp>
        <tr r="AF29" s="18"/>
      </tp>
      <tp>
        <v>8914674</v>
        <stp/>
        <stp>PLAYERSRANKING</stp>
        <stp>WINV25</stp>
        <stp>107</stp>
        <stp>SALDO</stp>
        <stp>VOLFWITHFACTOR</stp>
        <tr r="AF32" s="18"/>
      </tp>
      <tp t="s">
        <v>0</v>
        <stp/>
        <stp>PLAYERSRANKING</stp>
        <stp>WINV25</stp>
        <stp>308</stp>
        <stp>SALDO</stp>
        <stp>VOLFWITHFACTOR</stp>
        <tr r="AF17" s="18"/>
      </tp>
      <tp>
        <v>-92033390</v>
        <stp/>
        <stp>PLAYERSRANKING</stp>
        <stp>WDOV25</stp>
        <stp>107</stp>
        <stp>SALDO</stp>
        <stp>VOLFWITHFACTOR</stp>
        <tr r="AF117" s="18"/>
      </tp>
      <tp t="s">
        <v>0</v>
        <stp/>
        <stp>PLAYERSRANKING</stp>
        <stp>INDV25</stp>
        <stp>83</stp>
        <stp>SALDO</stp>
        <stp>VOLFWITHFACTOR</stp>
        <tr r="AC28" s="18"/>
      </tp>
      <tp>
        <v>37403875</v>
        <stp/>
        <stp>PLAYERSRANKING</stp>
        <stp>DOLV25</stp>
        <stp>88</stp>
        <stp>SALDO</stp>
        <stp>VOLFWITHFACTOR</stp>
        <tr r="AC124" s="18"/>
      </tp>
      <tp>
        <v>-52023100</v>
        <stp/>
        <stp>PLAYERSRANKING</stp>
        <stp>INDV25</stp>
        <stp>85</stp>
        <stp>SALDO</stp>
        <stp>VOLFWITHFACTOR</stp>
        <tr r="AC8" s="18"/>
      </tp>
      <tp>
        <v>323514375</v>
        <stp/>
        <stp>PLAYERSRANKING</stp>
        <stp>DOLV25</stp>
        <stp>85</stp>
        <stp>SALDO</stp>
        <stp>VOLFWITHFACTOR</stp>
        <tr r="AC125" s="18"/>
      </tp>
      <tp>
        <v>1461450</v>
        <stp/>
        <stp>PLAYERSRANKING</stp>
        <stp>INDV25</stp>
        <stp>88</stp>
        <stp>SALDO</stp>
        <stp>VOLFWITHFACTOR</stp>
        <tr r="AC20" s="18"/>
      </tp>
      <tp t="s">
        <v>0</v>
        <stp/>
        <stp>PLAYERSRANKING</stp>
        <stp>DOLV25</stp>
        <stp>83</stp>
        <stp>SALDO</stp>
        <stp>VOLFWITHFACTOR</stp>
        <tr r="AC111" s="18"/>
      </tp>
      <tp>
        <v>-66233246</v>
        <stp/>
        <stp>PLAYERSRANKING</stp>
        <stp>WINV25</stp>
        <stp>88</stp>
        <stp>SALDO</stp>
        <stp>VOLFWITHFACTOR</stp>
        <tr r="AF37" s="18"/>
      </tp>
      <tp>
        <v>-116141180</v>
        <stp/>
        <stp>PLAYERSRANKING</stp>
        <stp>WDOV25</stp>
        <stp>88</stp>
        <stp>SALDO</stp>
        <stp>VOLFWITHFACTOR</stp>
        <tr r="AF124" s="18"/>
      </tp>
      <tp>
        <v>-389738116</v>
        <stp/>
        <stp>PLAYERSRANKING</stp>
        <stp>WINV25</stp>
        <stp>85</stp>
        <stp>SALDO</stp>
        <stp>VOLFWITHFACTOR</stp>
        <tr r="AF34" s="18"/>
      </tp>
      <tp>
        <v>-817278475</v>
        <stp/>
        <stp>PLAYERSRANKING</stp>
        <stp>WDOV25</stp>
        <stp>85</stp>
        <stp>SALDO</stp>
        <stp>VOLFWITHFACTOR</stp>
        <tr r="AF125" s="18"/>
      </tp>
      <tp>
        <v>-2142591</v>
        <stp/>
        <stp>PLAYERSRANKING</stp>
        <stp>WINV25</stp>
        <stp>83</stp>
        <stp>SALDO</stp>
        <stp>VOLFWITHFACTOR</stp>
        <tr r="AF33" s="18"/>
      </tp>
      <tp>
        <v>2886045</v>
        <stp/>
        <stp>PLAYERSRANKING</stp>
        <stp>WDOV25</stp>
        <stp>83</stp>
        <stp>SALDO</stp>
        <stp>VOLFWITHFACTOR</stp>
        <tr r="AF111" s="18"/>
      </tp>
      <tp t="s">
        <v>0</v>
        <stp/>
        <stp>PLAYERSRANKING</stp>
        <stp>WINV25</stp>
        <stp>735</stp>
        <stp>SALDO</stp>
        <stp>VOLFWITHFACTOR</stp>
        <tr r="AF16" s="18"/>
      </tp>
      <tp>
        <v>-113444975</v>
        <stp/>
        <stp>PLAYERSRANKING</stp>
        <stp>WDOV25</stp>
        <stp>238</stp>
        <stp>SALDO</stp>
        <stp>VOLFWITHFACTOR</stp>
        <tr r="AF130" s="18"/>
      </tp>
      <tp>
        <v>121688599</v>
        <stp/>
        <stp>PLAYERSRANKING</stp>
        <stp>WINV25</stp>
        <stp>238</stp>
        <stp>SALDO</stp>
        <stp>VOLFWITHFACTOR</stp>
        <tr r="AF11" s="18"/>
      </tp>
      <tp t="s">
        <v>0</v>
        <stp/>
        <stp>PLAYERSRANKING</stp>
        <stp>WDOV25</stp>
        <stp>735</stp>
        <stp>SALDO</stp>
        <stp>VOLFWITHFACTOR</stp>
        <tr r="AF122" s="18"/>
      </tp>
      <tp>
        <v>118955816</v>
        <stp/>
        <stp>PLAYERSRANKING</stp>
        <stp>WINV25</stp>
        <stp>127</stp>
        <stp>SALDO</stp>
        <stp>VOLFWITHFACTOR</stp>
        <tr r="AF38" s="18"/>
      </tp>
      <tp>
        <v>470612624</v>
        <stp/>
        <stp>PLAYERSRANKING</stp>
        <stp>WINV25</stp>
        <stp>120</stp>
        <stp>SALDO</stp>
        <stp>VOLFWITHFACTOR</stp>
        <tr r="AF9" s="18"/>
      </tp>
      <tp>
        <v>64587633</v>
        <stp/>
        <stp>PLAYERSRANKING</stp>
        <stp>WINV25</stp>
        <stp>122</stp>
        <stp>SALDO</stp>
        <stp>VOLFWITHFACTOR</stp>
        <tr r="AF12" s="18"/>
      </tp>
      <tp>
        <v>281236995</v>
        <stp/>
        <stp>PLAYERSRANKING</stp>
        <stp>WDOV25</stp>
        <stp>120</stp>
        <stp>SALDO</stp>
        <stp>VOLFWITHFACTOR</stp>
        <tr r="AF97" s="18"/>
      </tp>
      <tp>
        <v>779328945</v>
        <stp/>
        <stp>PLAYERSRANKING</stp>
        <stp>WDOV25</stp>
        <stp>122</stp>
        <stp>SALDO</stp>
        <stp>VOLFWITHFACTOR</stp>
        <tr r="AF98" s="18"/>
      </tp>
      <tp>
        <v>-407514820</v>
        <stp/>
        <stp>PLAYERSRANKING</stp>
        <stp>WDOV25</stp>
        <stp>127</stp>
        <stp>SALDO</stp>
        <stp>VOLFWITHFACTOR</stp>
        <tr r="AF104" s="18"/>
      </tp>
      <tp t="s">
        <v>0</v>
        <stp/>
        <stp>PLAYERSRANKING</stp>
        <stp>INDV25</stp>
        <stp>735</stp>
        <stp>SALDO</stp>
        <stp>VOLFWITHFACTOR</stp>
        <tr r="AC39" s="18"/>
      </tp>
      <tp>
        <v>-23378775</v>
        <stp/>
        <stp>PLAYERSRANKING</stp>
        <stp>INDV25</stp>
        <stp>238</stp>
        <stp>SALDO</stp>
        <stp>VOLFWITHFACTOR</stp>
        <tr r="AC38" s="18"/>
      </tp>
      <tp>
        <v>-14647500</v>
        <stp/>
        <stp>PLAYERSRANKING</stp>
        <stp>INDV25</stp>
        <stp>122</stp>
        <stp>SALDO</stp>
        <stp>VOLFWITHFACTOR</stp>
        <tr r="AC32" s="18"/>
      </tp>
      <tp>
        <v>-12409875</v>
        <stp/>
        <stp>PLAYERSRANKING</stp>
        <stp>INDV25</stp>
        <stp>120</stp>
        <stp>SALDO</stp>
        <stp>VOLFWITHFACTOR</stp>
        <tr r="AC9" s="18"/>
      </tp>
      <tp>
        <v>53391350</v>
        <stp/>
        <stp>PLAYERSRANKING</stp>
        <stp>INDV25</stp>
        <stp>127</stp>
        <stp>SALDO</stp>
        <stp>VOLFWITHFACTOR</stp>
        <tr r="AC22" s="18"/>
      </tp>
      <tp t="s">
        <v>0</v>
        <stp/>
        <stp>PLAYERSRANKING</stp>
        <stp>INDV25</stp>
        <stp>115</stp>
        <stp>SALDO</stp>
        <stp>VOLFWITHFACTOR</stp>
        <tr r="AC29" s="18"/>
      </tp>
      <tp>
        <v>4394500</v>
        <stp/>
        <stp>PLAYERSRANKING</stp>
        <stp>INDV25</stp>
        <stp>114</stp>
        <stp>SALDO</stp>
        <stp>VOLFWITHFACTOR</stp>
        <tr r="AC33" s="18"/>
      </tp>
      <tp>
        <v>10980150</v>
        <stp/>
        <stp>PLAYERSRANKING</stp>
        <stp>INDV25</stp>
        <stp>107</stp>
        <stp>SALDO</stp>
        <stp>VOLFWITHFACTOR</stp>
        <tr r="AC21" s="18"/>
      </tp>
      <tp t="s">
        <v>0</v>
        <stp/>
        <stp>PLAYERSRANKING</stp>
        <stp>INDV25</stp>
        <stp>308</stp>
        <stp>SALDO</stp>
        <stp>VOLFWITHFACTOR</stp>
        <tr r="AC23" s="18"/>
      </tp>
      <tp>
        <v>-19029625</v>
        <stp/>
        <stp>PLAYERSRANKING</stp>
        <stp>INDV25</stp>
        <stp>262</stp>
        <stp>SALDO</stp>
        <stp>VOLFWITHFACTOR</stp>
        <tr r="AC30" s="18"/>
      </tp>
      <tp t="s">
        <v>0</v>
        <stp/>
        <stp>PLAYERSRANKING</stp>
        <stp>DOLV25</stp>
        <stp>190</stp>
        <stp>SALDO</stp>
        <stp>VOLFWITHFACTOR</stp>
        <tr r="AC115" s="18"/>
      </tp>
      <tp>
        <v>20634150</v>
        <stp/>
        <stp>PLAYERSRANKING</stp>
        <stp>INDV25</stp>
        <stp>147</stp>
        <stp>SALDO</stp>
        <stp>VOLFWITHFACTOR</stp>
        <tr r="AC40" s="18"/>
      </tp>
      <tp>
        <v>73171550</v>
        <stp/>
        <stp>PLAYERSRANKING</stp>
        <stp>INDV25</stp>
        <stp>746</stp>
        <stp>SALDO</stp>
        <stp>VOLFWITHFACTOR</stp>
        <tr r="AC12" s="18"/>
      </tp>
      <tp>
        <v>-23875</v>
        <stp/>
        <stp>PLAYERSRANKING</stp>
        <stp>DOLV25</stp>
        <stp>262</stp>
        <stp>SALDO</stp>
        <stp>VOLFWITHFACTOR</stp>
        <tr r="AC107" s="18"/>
      </tp>
      <tp>
        <v>-147061500</v>
        <stp/>
        <stp>PLAYERSRANKING</stp>
        <stp>DOLV25</stp>
        <stp>746</stp>
        <stp>SALDO</stp>
        <stp>VOLFWITHFACTOR</stp>
        <tr r="AC123" s="18"/>
      </tp>
      <tp>
        <v>504347125</v>
        <stp/>
        <stp>PLAYERSRANKING</stp>
        <stp>DOLV25</stp>
        <stp>147</stp>
        <stp>SALDO</stp>
        <stp>VOLFWITHFACTOR</stp>
        <tr r="AC102" s="18"/>
      </tp>
      <tp>
        <v>929382750</v>
        <stp/>
        <stp>PLAYERSRANKING</stp>
        <stp>DOLV25</stp>
        <stp>122</stp>
        <stp>SALDO</stp>
        <stp>VOLFWITHFACTOR</stp>
        <tr r="AC98" s="18"/>
      </tp>
      <tp>
        <v>209353625</v>
        <stp/>
        <stp>PLAYERSRANKING</stp>
        <stp>DOLV25</stp>
        <stp>120</stp>
        <stp>SALDO</stp>
        <stp>VOLFWITHFACTOR</stp>
        <tr r="AC97" s="18"/>
      </tp>
      <tp>
        <v>-194076625</v>
        <stp/>
        <stp>PLAYERSRANKING</stp>
        <stp>DOLV25</stp>
        <stp>127</stp>
        <stp>SALDO</stp>
        <stp>VOLFWITHFACTOR</stp>
        <tr r="AC104" s="18"/>
      </tp>
      <tp>
        <v>0.78629177936819805</v>
        <stp/>
        <stp>SQT</stp>
        <stp>DJIA-CFD</stp>
        <stp>VAR</stp>
        <tr r="AH91" s="18"/>
      </tp>
      <tp>
        <v>-95078875</v>
        <stp/>
        <stp>PLAYERSRANKING</stp>
        <stp>DOLV25</stp>
        <stp>238</stp>
        <stp>SALDO</stp>
        <stp>VOLFWITHFACTOR</stp>
        <tr r="AC130" s="18"/>
      </tp>
      <tp>
        <v>-103098875</v>
        <stp/>
        <stp>PLAYERSRANKING</stp>
        <stp>DOLV25</stp>
        <stp>107</stp>
        <stp>SALDO</stp>
        <stp>VOLFWITHFACTOR</stp>
        <tr r="AC117" s="18"/>
      </tp>
      <tp t="s">
        <v>0</v>
        <stp/>
        <stp>PLAYERSRANKING</stp>
        <stp>DOLV25</stp>
        <stp>308</stp>
        <stp>SALDO</stp>
        <stp>VOLFWITHFACTOR</stp>
        <tr r="AC100" s="18"/>
      </tp>
      <tp>
        <v>200507000</v>
        <stp/>
        <stp>PLAYERSRANKING</stp>
        <stp>DOLV25</stp>
        <stp>114</stp>
        <stp>SALDO</stp>
        <stp>VOLFWITHFACTOR</stp>
        <tr r="AC101" s="18"/>
      </tp>
      <tp t="s">
        <v>0</v>
        <stp/>
        <stp>PLAYERSRANKING</stp>
        <stp>DOLV25</stp>
        <stp>115</stp>
        <stp>SALDO</stp>
        <stp>VOLFWITHFACTOR</stp>
        <tr r="AC120" s="18"/>
      </tp>
    </main>
    <main first="rtdtrading.rtdserver">
      <tp>
        <v>7.27</v>
        <stp/>
        <stp>ITUB_Y_0</stp>
        <stp>ABE</stp>
        <tr r="AM15" s="18"/>
      </tp>
      <tp>
        <v>7.97</v>
        <stp/>
        <stp>BRKM5_B_0</stp>
        <stp>ABE</stp>
        <tr r="AV15" s="18"/>
      </tp>
      <tp>
        <v>-0.211864406779669</v>
        <stp/>
        <stp>DI1Z26_F_0</stp>
        <stp>VAR</stp>
        <tr r="AJ131" s="18"/>
        <tr r="AP59" s="18"/>
      </tp>
      <tp>
        <v>3.3561551886152535E-2</v>
        <stp/>
        <stp>DI1Z25_F_0</stp>
        <stp>VAR</stp>
        <tr r="AP58" s="18"/>
        <tr r="AJ130" s="18"/>
      </tp>
      <tp>
        <v>50.88</v>
        <stp/>
        <stp>ENGI11_B_0</stp>
        <stp>ABE</stp>
        <tr r="AV33" s="18"/>
      </tp>
      <tp>
        <v>24.15</v>
        <stp/>
        <stp>IGTI11_B_0</stp>
        <stp>ABE</stp>
        <tr r="AV45" s="18"/>
      </tp>
      <tp>
        <v>0.48181457835450908</v>
        <stp/>
        <stp>BRL/CAD_O_0</stp>
        <stp>VAR</stp>
        <tr r="AP8" s="18"/>
      </tp>
      <tp>
        <v>0.21591754900053572</v>
        <stp/>
        <stp>BRL/CHF_O_0</stp>
        <stp>VAR</stp>
        <tr r="AP10" s="18"/>
      </tp>
      <tp>
        <v>0.44715141865809627</v>
        <stp/>
        <stp>BRL/CNH_O_0</stp>
        <stp>VAR</stp>
        <tr r="AP6" s="18"/>
      </tp>
      <tp>
        <v>0.21345437334117415</v>
        <stp/>
        <stp>USD/TRY_O_0</stp>
        <stp>VAR</stp>
        <tr r="AH107" s="18"/>
      </tp>
      <tp>
        <v>-9.8950400597407215E-2</v>
        <stp/>
        <stp>BRL/CZK_O_0</stp>
        <stp>VAR</stp>
        <tr r="AP7" s="18"/>
      </tp>
      <tp>
        <v>0.87336244541484798</v>
        <stp/>
        <stp>ABEV_Y_0</stp>
        <stp>VAR</stp>
        <tr r="AJ25" s="18"/>
      </tp>
      <tp>
        <v>10.67</v>
        <stp/>
        <stp>VALE_Y_0</stp>
        <stp>ULT</stp>
        <tr r="AL13" s="18"/>
      </tp>
      <tp>
        <v>1.04</v>
        <stp/>
        <stp>RAIZ4_B_0</stp>
        <stp>ABE</stp>
        <tr r="AV66" s="18"/>
      </tp>
      <tp>
        <v>40.47</v>
        <stp/>
        <stp>EGIE3_B_0</stp>
        <stp>ABE</stp>
        <tr r="AV35" s="18"/>
      </tp>
      <tp>
        <v>11.23</v>
        <stp/>
        <stp>CMIG4_B_0</stp>
        <stp>ABE</stp>
        <tr r="AV20" s="18"/>
      </tp>
      <tp>
        <v>15.2</v>
        <stp/>
        <stp>RAIL3_B_0</stp>
        <stp>ABE</stp>
        <tr r="AV68" s="18"/>
      </tp>
      <tp>
        <v>4.47</v>
        <stp/>
        <stp>USIM5_B_0</stp>
        <stp>ABE</stp>
        <tr r="AV81" s="18"/>
      </tp>
      <tp>
        <v>5.35</v>
        <stp/>
        <stp>CMIN3_B_0</stp>
        <stp>ABE</stp>
        <tr r="AV26" s="18"/>
      </tp>
      <tp>
        <v>-1.9301470588235372</v>
        <stp/>
        <stp>VALE_Y_0</stp>
        <stp>VAR</stp>
        <tr r="AJ21" s="18"/>
      </tp>
      <tp>
        <v>39.04</v>
        <stp/>
        <stp>PRIO3_B_0</stp>
        <stp>ABE</stp>
        <tr r="AV63" s="18"/>
      </tp>
      <tp>
        <v>2.31</v>
        <stp/>
        <stp>ABEV_Y_0</stp>
        <stp>ULT</stp>
        <tr r="AL17" s="18"/>
      </tp>
      <tp>
        <v>-1.1920257947928132E-14</v>
        <stp/>
        <stp>DI1X25_F_0</stp>
        <stp>VAR</stp>
        <tr r="AP57" s="18"/>
        <tr r="AJ129" s="18"/>
      </tp>
      <tp>
        <v>0.34237084796418327</v>
        <stp/>
        <stp>BRL/AUD_O_0</stp>
        <stp>VAR</stp>
        <tr r="AP11" s="18"/>
      </tp>
      <tp>
        <v>41.3</v>
        <stp/>
        <stp>RDOR3_B_0</stp>
        <stp>ABE</stp>
        <tr r="AV67" s="18"/>
      </tp>
      <tp>
        <v>25.55</v>
        <stp/>
        <stp>ALOS3_B_0</stp>
        <stp>ABE</stp>
        <tr r="AV3" s="18"/>
      </tp>
      <tp>
        <v>-2.2179929310421169E-2</v>
        <stp/>
        <stp>BRL/GBP_O_0</stp>
        <stp>VAR</stp>
        <tr r="AP12" s="18"/>
      </tp>
      <tp>
        <v>40</v>
        <stp/>
        <stp>RENT3_B_0</stp>
        <stp>ABE</stp>
        <tr r="AV51" s="18"/>
      </tp>
      <tp>
        <v>0</v>
        <stp/>
        <stp>ARZZ3_B_0</stp>
        <stp>ULT</stp>
        <tr r="AU6" s="18"/>
      </tp>
      <tp>
        <v>8</v>
        <stp/>
        <stp>CSNA3_B_0</stp>
        <stp>ABE</stp>
        <tr r="AV72" s="18"/>
      </tp>
      <tp>
        <v>49.73</v>
        <stp/>
        <stp>SUZB3_B_0</stp>
        <stp>ULT</stp>
        <tr r="AU74" s="18"/>
      </tp>
      <tp>
        <v>23.02</v>
        <stp/>
        <stp>TIMS3_B_0</stp>
        <stp>ABE</stp>
        <tr r="AV77" s="18"/>
      </tp>
      <tp>
        <v>0</v>
        <stp/>
        <stp>SOMA3_B_0</stp>
        <stp>ABE</stp>
        <tr r="AV42" s="18"/>
      </tp>
      <tp>
        <v>3.6</v>
        <stp/>
        <stp>VAMO3_B_0</stp>
        <stp>ABE</stp>
        <tr r="AV83" s="18"/>
      </tp>
      <tp>
        <v>-0.67940979087942943</v>
        <stp/>
        <stp>USD/RUB_O_0</stp>
        <stp>VAR</stp>
        <tr r="AH105" s="18"/>
      </tp>
      <tp>
        <v>0.17206427069776598</v>
        <stp/>
        <stp>BRL/EUR_O_0</stp>
        <stp>VAR</stp>
        <tr r="AP4" s="18"/>
      </tp>
      <tp>
        <v>28.87</v>
        <stp/>
        <stp>MULT3_B_0</stp>
        <stp>ABE</stp>
        <tr r="AV58" s="18"/>
      </tp>
      <tp>
        <v>11.16</v>
        <stp/>
        <stp>MGLU3_B_0</stp>
        <stp>ABE</stp>
        <tr r="AV54" s="18"/>
      </tp>
      <tp>
        <v>57.74</v>
        <stp/>
        <stp>VALE3_B_0</stp>
        <stp>ABE</stp>
        <tr r="AM5" s="18"/>
        <tr r="AV82" s="18"/>
      </tp>
      <tp>
        <v>12.8</v>
        <stp/>
        <stp>CPLE6_B_0</stp>
        <stp>ABE</stp>
        <tr r="AV23" s="18"/>
      </tp>
      <tp>
        <v>18.27</v>
        <stp/>
        <stp>KLBN11_B_0</stp>
        <stp>ABE</stp>
        <tr r="AV50" s="18"/>
      </tp>
      <tp>
        <v>13.1</v>
        <stp/>
        <stp>RECV3_B_0</stp>
        <stp>ABE</stp>
        <tr r="AV62" s="18"/>
      </tp>
      <tp>
        <v>-0.53977272727274095</v>
        <stp/>
        <stp>PETR3_B_0</stp>
        <stp>VAR</stp>
        <tr r="AJ10" s="18"/>
      </tp>
      <tp>
        <v>-0.15451174289245104</v>
        <stp/>
        <stp>PETR4_B_0</stp>
        <stp>VAR</stp>
        <tr r="AJ9" s="18"/>
      </tp>
      <tp>
        <v>16.510000000000002</v>
        <stp/>
        <stp>SLCE3_B_0</stp>
        <stp>ABE</stp>
        <tr r="AV73" s="18"/>
      </tp>
      <tp>
        <v>1.97</v>
        <stp/>
        <stp>CVCB3_B_0</stp>
        <stp>ABE</stp>
        <tr r="AV27" s="18"/>
      </tp>
      <tp>
        <v>11.11</v>
        <stp/>
        <stp>NTCO3_B_0</stp>
        <stp>ABE</stp>
        <tr r="AV41" s="18"/>
      </tp>
      <tp>
        <v>5.76</v>
        <stp/>
        <stp>DXCO3_B_0</stp>
        <stp>ABE</stp>
        <tr r="AV29" s="18"/>
      </tp>
      <tp>
        <v>24.15</v>
        <stp/>
        <stp>VBBR3_B_0</stp>
        <stp>ABE</stp>
        <tr r="AV84" s="18"/>
      </tp>
      <tp>
        <v>46.5</v>
        <stp/>
        <stp>IRBR3_B_0</stp>
        <stp>ABE</stp>
        <tr r="AV46" s="18"/>
      </tp>
      <tp>
        <v>80.23</v>
        <stp/>
        <stp>EMBR3_B_0</stp>
        <stp>ABE</stp>
        <tr r="AV32" s="18"/>
      </tp>
      <tp>
        <v>16.7</v>
        <stp/>
        <stp>GGBR4_B_0</stp>
        <stp>ABE</stp>
        <tr r="AV39" s="18"/>
      </tp>
      <tp>
        <v>32.79</v>
        <stp/>
        <stp>VIVT3_B_0</stp>
        <stp>ULT</stp>
        <tr r="AU76" s="18"/>
      </tp>
      <tp>
        <v>0.64968814968813116</v>
        <stp/>
        <stp>ITUB4_B_0</stp>
        <stp>VAR</stp>
        <tr r="AJ11" s="18"/>
      </tp>
      <tp>
        <v>28.39</v>
        <stp/>
        <stp>VIVA3_B_0</stp>
        <stp>ULT</stp>
        <tr r="AU87" s="18"/>
      </tp>
      <tp>
        <v>7.35</v>
        <stp/>
        <stp>MRVE3_B_0</stp>
        <stp>ULT</stp>
        <tr r="AU57" s="18"/>
      </tp>
      <tp>
        <v>0.2586367398840741</v>
        <stp/>
        <stp>BRL/JPY_O_0</stp>
        <stp>VAR</stp>
        <tr r="AP3" s="18"/>
      </tp>
      <tp>
        <v>9.5500000000000007</v>
        <stp/>
        <stp>GOAU4_B_0</stp>
        <stp>ABE</stp>
        <tr r="AV40" s="18"/>
      </tp>
      <tp>
        <v>17.09</v>
        <stp/>
        <stp>BRAP4_B_0</stp>
        <stp>ABE</stp>
        <tr r="AV13" s="18"/>
      </tp>
      <tp>
        <v>4.25</v>
        <stp/>
        <stp>PCAR3_B_0</stp>
        <stp>ABE</stp>
        <tr r="AV59" s="18"/>
      </tp>
      <tp>
        <v>21.81</v>
        <stp/>
        <stp>BBAS3_B_0</stp>
        <stp>ABE</stp>
        <tr r="AM9" s="18"/>
        <tr r="AV14" s="18"/>
      </tp>
      <tp>
        <v>12.87</v>
        <stp/>
        <stp>YDUQ3_B_0</stp>
        <stp>ULT</stp>
        <tr r="AU86" s="18"/>
      </tp>
      <tp>
        <v>1.23</v>
        <stp/>
        <stp>AZUL4_B_0</stp>
        <stp>ULT</stp>
        <tr r="AU8" s="18"/>
      </tp>
      <tp>
        <v>38.729999999999997</v>
        <stp/>
        <stp>ITUB4_B_0</stp>
        <stp>ULT</stp>
        <tr r="AL4" s="18"/>
        <tr r="AU48" s="18"/>
      </tp>
      <tp>
        <v>6.26</v>
        <stp/>
        <stp>CSAN3_B_0</stp>
        <stp>ABE</stp>
        <tr r="AV24" s="18"/>
      </tp>
      <tp>
        <v>9.25</v>
        <stp/>
        <stp>ASAI3_B_0</stp>
        <stp>ABE</stp>
        <tr r="AV7" s="18"/>
      </tp>
      <tp>
        <v>47.64</v>
        <stp/>
        <stp>BPAC11_B_0</stp>
        <stp>ABE</stp>
        <tr r="AM7" s="18"/>
        <tr r="AV17" s="18"/>
      </tp>
      <tp>
        <v>0.38532247489007548</v>
        <stp/>
        <stp>BRL/INR_O_0</stp>
        <stp>VAR</stp>
        <tr r="AP9" s="18"/>
      </tp>
      <tp>
        <v>3.78</v>
        <stp/>
        <stp>PETZ3_B_0</stp>
        <stp>ULT</stp>
        <tr r="AU64" s="18"/>
      </tp>
      <tp>
        <v>32.31</v>
        <stp/>
        <stp>PETR4_B_0</stp>
        <stp>ULT</stp>
        <tr r="AU61" s="18"/>
        <tr r="AL2" s="18"/>
      </tp>
      <tp>
        <v>35.01</v>
        <stp/>
        <stp>PETR3_B_0</stp>
        <stp>ULT</stp>
        <tr r="AL3" s="18"/>
        <tr r="AU60" s="18"/>
      </tp>
      <tp>
        <v>45.2</v>
        <stp/>
        <stp>TOTS3_B_0</stp>
        <stp>ULT</stp>
        <tr r="AU78" s="18"/>
      </tp>
      <tp>
        <v>17.87</v>
        <stp/>
        <stp>SMTO3_B_0</stp>
        <stp>ULT</stp>
        <tr r="AU71" s="18"/>
      </tp>
      <tp>
        <v>36.67</v>
        <stp/>
        <stp>EQTL3_B_0</stp>
        <stp>ULT</stp>
        <tr r="AU36" s="18"/>
      </tp>
      <tp>
        <v>16.48</v>
        <stp/>
        <stp>EZTC3_B_0</stp>
        <stp>ULT</stp>
        <tr r="AU37" s="18"/>
      </tp>
      <tp>
        <v>28.58</v>
        <stp/>
        <stp>SANB11_B_0</stp>
        <stp>ABE</stp>
        <tr r="AV70" s="18"/>
      </tp>
      <tp>
        <v>-0.14727540500737371</v>
        <stp/>
        <stp>DI1Q27_F_0</stp>
        <stp>VAR</stp>
        <tr r="AP48" s="18"/>
        <tr r="AJ120" s="18"/>
      </tp>
      <tp>
        <v>-0.24054982817869514</v>
        <stp/>
        <stp>DI1Q26_F_0</stp>
        <stp>VAR</stp>
        <tr r="AP46" s="18"/>
        <tr r="AJ118" s="18"/>
      </tp>
      <tp>
        <v>0</v>
        <stp/>
        <stp>DI1Q25_F_0</stp>
        <stp>VAR</stp>
        <tr r="AJ119" s="18"/>
        <tr r="AP47" s="18"/>
      </tp>
      <tp>
        <v>0</v>
        <stp/>
        <stp>JBSS3_B_0</stp>
        <stp>ULT</stp>
        <tr r="AU49" s="18"/>
      </tp>
      <tp>
        <v>128.21</v>
        <stp/>
        <stp>SBSP3_B_0</stp>
        <stp>ULT</stp>
        <tr r="AU69" s="18"/>
      </tp>
      <tp>
        <v>36.49</v>
        <stp/>
        <stp>WEGE3_B_0</stp>
        <stp>ABE</stp>
        <tr r="AM8" s="18"/>
        <tr r="AV85" s="18"/>
      </tp>
      <tp>
        <v>3.15</v>
        <stp/>
        <stp>COGN3_B_0</stp>
        <stp>ABE</stp>
        <tr r="AV22" s="18"/>
      </tp>
      <tp>
        <v>11.38</v>
        <stp/>
        <stp>ITSA4_B_0</stp>
        <stp>ULT</stp>
        <tr r="AU47" s="18"/>
      </tp>
      <tp>
        <v>4.47</v>
        <stp/>
        <stp>LWSA3_B_0</stp>
        <stp>ULT</stp>
        <tr r="AU53" s="18"/>
      </tp>
      <tp>
        <v>13.25</v>
        <stp/>
        <stp>B3SA3_B_0</stp>
        <stp>ULT</stp>
        <tr r="AU9" s="18"/>
      </tp>
      <tp>
        <v>32.47</v>
        <stp/>
        <stp>BBSE3_B_0</stp>
        <stp>ULT</stp>
        <tr r="AU10" s="18"/>
      </tp>
      <tp>
        <v>36.15</v>
        <stp/>
        <stp>TAEE11_B_0</stp>
        <stp>ABE</stp>
        <tr r="AV75" s="18"/>
      </tp>
      <tp>
        <v>-0.36995930447651282</v>
        <stp/>
        <stp>DI1V27_F_0</stp>
        <stp>VAR</stp>
        <tr r="AP53" s="18"/>
        <tr r="AJ125" s="18"/>
      </tp>
      <tp>
        <v>-0.24407252440726579</v>
        <stp/>
        <stp>DI1V26_F_0</stp>
        <stp>VAR</stp>
        <tr r="AJ124" s="18"/>
        <tr r="AP52" s="18"/>
      </tp>
      <tp>
        <v>-1.1918658342728465E-14</v>
        <stp/>
        <stp>DI1V25_F_0</stp>
        <stp>VAR</stp>
        <tr r="AJ123" s="18"/>
        <tr r="AP51" s="18"/>
      </tp>
      <tp>
        <v>-0.11261261261261689</v>
        <stp/>
        <stp>DI1V29_F_0</stp>
        <stp>VAR</stp>
        <tr r="AJ127" s="18"/>
        <tr r="AP55" s="18"/>
      </tp>
      <tp>
        <v>-3.7750094375241836E-2</v>
        <stp/>
        <stp>DI1V28_F_0</stp>
        <stp>VAR</stp>
        <tr r="AP54" s="18"/>
        <tr r="AJ126" s="18"/>
      </tp>
      <tp>
        <v>0</v>
        <stp/>
        <stp>DI1V30_F_0</stp>
        <stp>VAR</stp>
        <tr r="AJ128" s="18"/>
        <tr r="AP56" s="18"/>
      </tp>
      <tp>
        <v>16.12</v>
        <stp/>
        <stp>FLRY3_B_0</stp>
        <stp>ULT</stp>
        <tr r="AU38" s="18"/>
      </tp>
      <tp>
        <v>18.75</v>
        <stp/>
        <stp>BRFS3_B_0</stp>
        <stp>ABE</stp>
        <tr r="AV16" s="18"/>
      </tp>
      <tp>
        <v>0</v>
        <stp/>
        <stp>RRRP3_B_0</stp>
        <stp>ULT</stp>
        <tr r="AU2" s="18"/>
      </tp>
      <tp>
        <v>39.270000000000003</v>
        <stp/>
        <stp>CPFE3_B_0</stp>
        <stp>ABE</stp>
        <tr r="AV25" s="18"/>
      </tp>
      <tp>
        <v>22.14</v>
        <stp/>
        <stp>MRFG3_B_0</stp>
        <stp>ABE</stp>
        <tr r="AV55" s="18"/>
      </tp>
      <tp>
        <v>0</v>
        <stp/>
        <stp>CCRO3_B_0</stp>
        <stp>ULT</stp>
        <tr r="AU19" s="18"/>
      </tp>
      <tp>
        <v>0</v>
        <stp/>
        <stp>CRFB3_B_0</stp>
        <stp>ABE</stp>
        <tr r="AV18" s="18"/>
      </tp>
      <tp>
        <v>30.43</v>
        <stp/>
        <stp>CYRE3_B_0</stp>
        <stp>ULT</stp>
        <tr r="AU28" s="18"/>
      </tp>
      <tp>
        <v>50.65</v>
        <stp/>
        <stp>ELET3_B_0</stp>
        <stp>ABE</stp>
        <tr r="AV30" s="18"/>
        <tr r="AM11" s="18"/>
      </tp>
      <tp>
        <v>53.2</v>
        <stp/>
        <stp>ELET6_B_0</stp>
        <stp>ABE</stp>
        <tr r="AV31" s="18"/>
      </tp>
      <tp>
        <v>16.45</v>
        <stp/>
        <stp>ENEV3_B_0</stp>
        <stp>ABE</stp>
        <tr r="AV34" s="18"/>
      </tp>
      <tp>
        <v>12.53</v>
        <stp/>
        <stp>ABEV3_B_0</stp>
        <stp>ABE</stp>
        <tr r="AM6" s="18"/>
        <tr r="AV5" s="18"/>
      </tp>
      <tp>
        <v>6.44</v>
        <stp/>
        <stp>BEEF3_B_0</stp>
        <stp>ABE</stp>
        <tr r="AV56" s="18"/>
      </tp>
      <tp>
        <v>0</v>
        <stp/>
        <stp>CIEL3_B_0</stp>
        <stp>ABE</stp>
        <tr r="AV21" s="18"/>
      </tp>
      <tp>
        <v>15.84</v>
        <stp/>
        <stp>LREN3_B_0</stp>
        <stp>ABE</stp>
        <tr r="AV52" s="18"/>
      </tp>
      <tp>
        <v>-0.49474172755646334</v>
        <stp/>
        <stp>USD/ZAR_O_0</stp>
        <stp>VAR</stp>
        <tr r="AH108" s="18"/>
      </tp>
      <tp>
        <v>-7.5922233112024298E-2</v>
        <stp/>
        <stp>BRL/MXN_O_0</stp>
        <stp>VAR</stp>
        <tr r="AP5" s="18"/>
      </tp>
      <tp>
        <v>36.53</v>
        <stp/>
        <stp>HAPV3_B_0</stp>
        <stp>ULT</stp>
        <tr r="AU43" s="18"/>
      </tp>
      <tp>
        <v>0</v>
        <stp/>
        <stp>TRPL4_B_0</stp>
        <stp>ULT</stp>
        <tr r="AU79" s="18"/>
      </tp>
      <tp>
        <v>17.55</v>
        <stp/>
        <stp>BBDC4_B_0</stp>
        <stp>ABE</stp>
        <tr r="AV12" s="18"/>
      </tp>
      <tp>
        <v>15.09</v>
        <stp/>
        <stp>BBDC3_B_0</stp>
        <stp>ABE</stp>
        <tr r="AM10" s="18"/>
        <tr r="AV11" s="18"/>
      </tp>
      <tp>
        <v>17.850000000000001</v>
        <stp/>
        <stp>RADL3_B_0</stp>
        <stp>ABE</stp>
        <tr r="AV65" s="18"/>
      </tp>
      <tp>
        <v>9.57</v>
        <stp/>
        <stp>ALPA4_B_0</stp>
        <stp>ULT</stp>
        <tr r="AU4" s="18"/>
      </tp>
      <tp>
        <v>21.35</v>
        <stp/>
        <stp>UGPA3_B_0</stp>
        <stp>ULT</stp>
        <tr r="AU80" s="18"/>
      </tp>
      <tp>
        <v>22.95</v>
        <stp/>
        <stp>HYPE3_B_0</stp>
        <stp>ULT</stp>
        <tr r="AU44" s="18"/>
      </tp>
      <tp>
        <v>-0.27672085783467792</v>
        <stp/>
        <stp>DI1U26_F_0</stp>
        <stp>VAR</stp>
        <tr r="AJ122" s="18"/>
        <tr r="AP50" s="18"/>
      </tp>
      <tp>
        <v>0</v>
        <stp/>
        <stp>DI1U25_F_0</stp>
        <stp>VAR</stp>
        <tr r="AP49" s="18"/>
        <tr r="AJ121" s="18"/>
      </tp>
      <tp>
        <v>41.15</v>
        <stp/>
        <stp>RDOR3_B_0</stp>
        <stp>ULT</stp>
        <tr r="AU67" s="18"/>
      </tp>
      <tp>
        <v>25.67</v>
        <stp/>
        <stp>ALOS3_B_0</stp>
        <stp>ULT</stp>
        <tr r="AU3" s="18"/>
      </tp>
      <tp>
        <v>-2.2848307850884697</v>
        <stp/>
        <stp>VALE3_B_0</stp>
        <stp>VAR</stp>
        <tr r="AJ12" s="18"/>
      </tp>
      <tp>
        <v>-0.36062026685901533</v>
        <stp/>
        <stp>DI1J27_F_0</stp>
        <stp>VAR</stp>
        <tr r="AJ106" s="18"/>
        <tr r="AP34" s="18"/>
      </tp>
      <tp>
        <v>-3.3715441672303149E-2</v>
        <stp/>
        <stp>DI1J26_F_0</stp>
        <stp>VAR</stp>
        <tr r="AP33" s="18"/>
        <tr r="AJ105" s="18"/>
      </tp>
      <tp>
        <v>-0.15065913370997797</v>
        <stp/>
        <stp>DI1J29_F_0</stp>
        <stp>VAR</stp>
        <tr r="AP36" s="18"/>
        <tr r="AJ108" s="18"/>
      </tp>
      <tp>
        <v>-0.30086498683716373</v>
        <stp/>
        <stp>DI1J28_F_0</stp>
        <stp>VAR</stp>
        <tr r="AJ107" s="18"/>
        <tr r="AP35" s="18"/>
      </tp>
      <tp>
        <v>0.1876172607879818</v>
        <stp/>
        <stp>DI1J30_F_0</stp>
        <stp>VAR</stp>
        <tr r="AP37" s="18"/>
        <tr r="AJ109" s="18"/>
      </tp>
      <tp>
        <v>40.19</v>
        <stp/>
        <stp>RENT3_B_0</stp>
        <stp>ULT</stp>
        <tr r="AU51" s="18"/>
      </tp>
      <tp>
        <v>0</v>
        <stp/>
        <stp>ARZZ3_B_0</stp>
        <stp>ABE</stp>
        <tr r="AV6" s="18"/>
      </tp>
      <tp>
        <v>50.3</v>
        <stp/>
        <stp>SUZB3_B_0</stp>
        <stp>ABE</stp>
        <tr r="AV74" s="18"/>
      </tp>
      <tp>
        <v>7.99</v>
        <stp/>
        <stp>CSNA3_B_0</stp>
        <stp>ULT</stp>
        <tr r="AU72" s="18"/>
      </tp>
      <tp>
        <v>-0.13518080432579485</v>
        <stp/>
        <stp>DI1K26_F_0</stp>
        <stp>VAR</stp>
        <tr r="AP38" s="18"/>
        <tr r="AJ110" s="18"/>
      </tp>
      <tp>
        <v>-0.31708824592706936</v>
        <stp/>
        <stp>USD/EUR_O_0</stp>
        <stp>VAR</stp>
        <tr r="AH99" s="18"/>
      </tp>
      <tp>
        <v>22.93</v>
        <stp/>
        <stp>TIMS3_B_0</stp>
        <stp>ULT</stp>
        <tr r="AU77" s="18"/>
      </tp>
      <tp>
        <v>3.68</v>
        <stp/>
        <stp>VAMO3_B_0</stp>
        <stp>ULT</stp>
        <tr r="AU83" s="18"/>
      </tp>
      <tp>
        <v>0</v>
        <stp/>
        <stp>SOMA3_B_0</stp>
        <stp>ULT</stp>
        <tr r="AU42" s="18"/>
      </tp>
      <tp>
        <v>-3.3613445378168454E-2</v>
        <stp/>
        <stp>DI1H26_F_0</stp>
        <stp>VAR</stp>
        <tr r="AP32" s="18"/>
        <tr r="AJ104" s="18"/>
      </tp>
      <tp>
        <v>29.04</v>
        <stp/>
        <stp>MULT3_B_0</stp>
        <stp>ULT</stp>
        <tr r="AU58" s="18"/>
      </tp>
      <tp>
        <v>11.2</v>
        <stp/>
        <stp>MGLU3_B_0</stp>
        <stp>ULT</stp>
        <tr r="AU54" s="18"/>
      </tp>
      <tp>
        <v>12.6</v>
        <stp/>
        <stp>CPLE6_B_0</stp>
        <stp>ULT</stp>
        <tr r="AU23" s="18"/>
      </tp>
      <tp>
        <v>56.88</v>
        <stp/>
        <stp>VALE3_B_0</stp>
        <stp>ULT</stp>
        <tr r="AL5" s="18"/>
        <tr r="AU82" s="18"/>
      </tp>
      <tp>
        <v>18.23</v>
        <stp/>
        <stp>KLBN11_B_0</stp>
        <stp>ULT</stp>
        <tr r="AU50" s="18"/>
      </tp>
      <tp>
        <v>-0.51075315420077805</v>
        <stp/>
        <stp>USD/GBP_O_0</stp>
        <stp>VAR</stp>
        <tr r="AH104" s="18"/>
      </tp>
      <tp>
        <v>7.26</v>
        <stp/>
        <stp>ITUB_Y_0</stp>
        <stp>ULT</stp>
        <tr r="AL15" s="18"/>
      </tp>
      <tp>
        <v>7.15</v>
        <stp/>
        <stp>BRKM5_B_0</stp>
        <stp>ULT</stp>
        <tr r="AU15" s="18"/>
      </tp>
      <tp>
        <v>-0.29293299157818325</v>
        <stp/>
        <stp>DI1N27_F_0</stp>
        <stp>VAR</stp>
        <tr r="AJ114" s="18"/>
        <tr r="AP42" s="18"/>
      </tp>
      <tp>
        <v>-0.10256410256411859</v>
        <stp/>
        <stp>DI1N26_F_0</stp>
        <stp>VAR</stp>
        <tr r="AP41" s="18"/>
        <tr r="AJ113" s="18"/>
      </tp>
      <tp>
        <v>0</v>
        <stp/>
        <stp>DI1N25_F_0</stp>
        <stp>VAR</stp>
        <tr r="AP40" s="18"/>
        <tr r="AJ112" s="18"/>
      </tp>
      <tp>
        <v>-0.11273957158964557</v>
        <stp/>
        <stp>DI1N29_F_0</stp>
        <stp>VAR</stp>
        <tr r="AP44" s="18"/>
        <tr r="AJ116" s="18"/>
      </tp>
      <tp>
        <v>-0.2637528259231493</v>
        <stp/>
        <stp>DI1N28_F_0</stp>
        <stp>VAR</stp>
        <tr r="AJ115" s="18"/>
        <tr r="AP43" s="18"/>
      </tp>
      <tp>
        <v>3.739715781599854E-2</v>
        <stp/>
        <stp>DI1N30_F_0</stp>
        <stp>VAR</stp>
        <tr r="AP45" s="18"/>
        <tr r="AJ117" s="18"/>
      </tp>
      <tp>
        <v>24.34</v>
        <stp/>
        <stp>IGTI11_B_0</stp>
        <stp>ULT</stp>
        <tr r="AU45" s="18"/>
      </tp>
      <tp>
        <v>50.67</v>
        <stp/>
        <stp>ENGI11_B_0</stp>
        <stp>ULT</stp>
        <tr r="AU33" s="18"/>
      </tp>
      <tp>
        <v>10.8</v>
        <stp/>
        <stp>VALE_Y_0</stp>
        <stp>ABE</stp>
        <tr r="AM13" s="18"/>
      </tp>
      <tp>
        <v>0.69382584523652946</v>
        <stp/>
        <stp>SMLL_B_0</stp>
        <stp>VAR</stp>
        <tr r="AH36" s="18"/>
      </tp>
      <tp>
        <v>-0.74586962457308204</v>
        <stp/>
        <stp>USD/ARS_O_0</stp>
        <stp>VAR</stp>
        <tr r="AH106" s="18"/>
      </tp>
      <tp>
        <v>1.02</v>
        <stp/>
        <stp>RAIZ4_B_0</stp>
        <stp>ULT</stp>
        <tr r="AU66" s="18"/>
      </tp>
      <tp>
        <v>2.2999999999999998</v>
        <stp/>
        <stp>ABEV_Y_0</stp>
        <stp>ABE</stp>
        <tr r="AM17" s="18"/>
      </tp>
      <tp>
        <v>5.33</v>
        <stp/>
        <stp>CMIN3_B_0</stp>
        <stp>ULT</stp>
        <tr r="AU26" s="18"/>
      </tp>
      <tp>
        <v>39.340000000000003</v>
        <stp/>
        <stp>PRIO3_B_0</stp>
        <stp>ULT</stp>
        <tr r="AU63" s="18"/>
      </tp>
      <tp>
        <v>15.31</v>
        <stp/>
        <stp>RAIL3_B_0</stp>
        <stp>ULT</stp>
        <tr r="AU68" s="18"/>
      </tp>
      <tp>
        <v>4.42</v>
        <stp/>
        <stp>USIM5_B_0</stp>
        <stp>ULT</stp>
        <tr r="AU81" s="18"/>
      </tp>
      <tp>
        <v>11.24</v>
        <stp/>
        <stp>CMIG4_B_0</stp>
        <stp>ULT</stp>
        <tr r="AU20" s="18"/>
      </tp>
      <tp>
        <v>40.08</v>
        <stp/>
        <stp>EGIE3_B_0</stp>
        <stp>ULT</stp>
        <tr r="AU35" s="18"/>
      </tp>
      <tp>
        <v>0.49091669975212682</v>
        <stp/>
        <stp>BRL/USD_O_0</stp>
        <stp>VAR</stp>
        <tr r="AP2" s="18"/>
      </tp>
      <tp>
        <v>-0.4883322150152713</v>
        <stp/>
        <stp>USD/BRL_O_0</stp>
        <stp>VAR</stp>
        <tr r="AH95" s="18"/>
      </tp>
      <tp>
        <v>0.83333333333332793</v>
        <stp/>
        <stp>ITUB_Y_0</stp>
        <stp>VAR</stp>
        <tr r="AJ23" s="18"/>
      </tp>
      <tp>
        <v>-0.10200612036723795</v>
        <stp/>
        <stp>DI1M26_F_0</stp>
        <stp>VAR</stp>
        <tr r="AJ111" s="18"/>
        <tr r="AP39" s="18"/>
      </tp>
      <tp>
        <v>-8.966004497342887E-3</v>
        <stp/>
        <stp>USD/CAD_O_0</stp>
        <stp>VAR</stp>
        <tr r="AH100" s="18"/>
      </tp>
      <tp>
        <v>-0.27383392491127001</v>
        <stp/>
        <stp>USD/CHF_O_0</stp>
        <stp>VAR</stp>
        <tr r="AH103" s="18"/>
      </tp>
      <tp>
        <v>-4.3379180792775744E-2</v>
        <stp/>
        <stp>USD/CNH_O_0</stp>
        <stp>VAR</stp>
        <tr r="AH96" s="18"/>
      </tp>
      <tp>
        <v>-0.58679711991993577</v>
        <stp/>
        <stp>USD/CZK_O_0</stp>
        <stp>VAR</stp>
        <tr r="AH101" s="18"/>
      </tp>
      <tp>
        <v>130</v>
        <stp/>
        <stp>SBSP3_B_0</stp>
        <stp>ABE</stp>
        <tr r="AV69" s="18"/>
      </tp>
      <tp>
        <v>0</v>
        <stp/>
        <stp>JBSS3_B_0</stp>
        <stp>ABE</stp>
        <tr r="AV49" s="18"/>
      </tp>
      <tp>
        <v>32.79</v>
        <stp/>
        <stp>BBSE3_B_0</stp>
        <stp>ABE</stp>
        <tr r="AV10" s="18"/>
      </tp>
      <tp>
        <v>0.86608927381744838</v>
        <stp/>
        <stp>BBDC3_B_0</stp>
        <stp>VAR</stp>
        <tr r="AJ17" s="18"/>
      </tp>
      <tp>
        <v>3.19</v>
        <stp/>
        <stp>COGN3_B_0</stp>
        <stp>ULT</stp>
        <tr r="AU22" s="18"/>
      </tp>
      <tp>
        <v>11.34</v>
        <stp/>
        <stp>ITSA4_B_0</stp>
        <stp>ABE</stp>
        <tr r="AV47" s="18"/>
      </tp>
      <tp>
        <v>4.3899999999999997</v>
        <stp/>
        <stp>LWSA3_B_0</stp>
        <stp>ABE</stp>
        <tr r="AV53" s="18"/>
      </tp>
      <tp>
        <v>13.01</v>
        <stp/>
        <stp>B3SA3_B_0</stp>
        <stp>ABE</stp>
        <tr r="AV9" s="18"/>
      </tp>
      <tp>
        <v>36.479999999999997</v>
        <stp/>
        <stp>WEGE3_B_0</stp>
        <stp>ULT</stp>
        <tr r="AU85" s="18"/>
        <tr r="AL8" s="18"/>
      </tp>
      <tp>
        <v>36.35</v>
        <stp/>
        <stp>TAEE11_B_0</stp>
        <stp>ULT</stp>
        <tr r="AU75" s="18"/>
      </tp>
      <tp>
        <v>0.32102728731941532</v>
        <stp/>
        <stp>ABEV3_B_0</stp>
        <stp>VAR</stp>
        <tr r="AJ13" s="18"/>
      </tp>
      <tp>
        <v>0.21825396825395299</v>
        <stp/>
        <stp>ELET3_B_0</stp>
        <stp>VAR</stp>
        <tr r="AJ18" s="18"/>
      </tp>
      <tp>
        <v>0</v>
        <stp/>
        <stp>RRRP3_B_0</stp>
        <stp>ABE</stp>
        <tr r="AV2" s="18"/>
      </tp>
      <tp>
        <v>17.95</v>
        <stp/>
        <stp>BRFS3_B_0</stp>
        <stp>ULT</stp>
        <tr r="AU16" s="18"/>
      </tp>
      <tp>
        <v>16.12</v>
        <stp/>
        <stp>FLRY3_B_0</stp>
        <stp>ABE</stp>
        <tr r="AV38" s="18"/>
      </tp>
      <tp>
        <v>30.08</v>
        <stp/>
        <stp>CYRE3_B_0</stp>
        <stp>ABE</stp>
        <tr r="AV28" s="18"/>
      </tp>
      <tp>
        <v>0</v>
        <stp/>
        <stp>CRFB3_B_0</stp>
        <stp>ULT</stp>
        <tr r="AU18" s="18"/>
      </tp>
      <tp>
        <v>0</v>
        <stp/>
        <stp>CCRO3_B_0</stp>
        <stp>ABE</stp>
        <tr r="AV19" s="18"/>
      </tp>
      <tp>
        <v>21.12</v>
        <stp/>
        <stp>MRFG3_B_0</stp>
        <stp>ULT</stp>
        <tr r="AU55" s="18"/>
      </tp>
      <tp>
        <v>38.869999999999997</v>
        <stp/>
        <stp>CPFE3_B_0</stp>
        <stp>ULT</stp>
        <tr r="AU25" s="18"/>
      </tp>
      <tp>
        <v>-0.56389253975103959</v>
        <stp/>
        <stp>USD/MXN_O_0</stp>
        <stp>VAR</stp>
        <tr r="AH98" s="18"/>
      </tp>
      <tp>
        <v>16.690000000000001</v>
        <stp/>
        <stp>ENEV3_B_0</stp>
        <stp>ULT</stp>
        <tr r="AU34" s="18"/>
      </tp>
      <tp>
        <v>12.5</v>
        <stp/>
        <stp>ABEV3_B_0</stp>
        <stp>ULT</stp>
        <tr r="AU5" s="18"/>
        <tr r="AL6" s="18"/>
      </tp>
      <tp>
        <v>50.51</v>
        <stp/>
        <stp>ELET3_B_0</stp>
        <stp>ULT</stp>
        <tr r="AL11" s="18"/>
        <tr r="AU30" s="18"/>
      </tp>
      <tp>
        <v>53.31</v>
        <stp/>
        <stp>ELET6_B_0</stp>
        <stp>ULT</stp>
        <tr r="AU31" s="18"/>
      </tp>
      <tp>
        <v>15.85</v>
        <stp/>
        <stp>LREN3_B_0</stp>
        <stp>ULT</stp>
        <tr r="AU52" s="18"/>
      </tp>
      <tp>
        <v>0</v>
        <stp/>
        <stp>CIEL3_B_0</stp>
        <stp>ULT</stp>
        <tr r="AU21" s="18"/>
      </tp>
      <tp>
        <v>0.12799175919709799</v>
        <stp/>
        <stp>IBOV_B_0</stp>
        <stp>VAR</stp>
        <tr r="AH34" s="18"/>
      </tp>
      <tp>
        <v>6.49</v>
        <stp/>
        <stp>BEEF3_B_0</stp>
        <stp>ULT</stp>
        <tr r="AU56" s="18"/>
      </tp>
      <tp>
        <v>37.29</v>
        <stp/>
        <stp>HAPV3_B_0</stp>
        <stp>ABE</stp>
        <tr r="AV43" s="18"/>
      </tp>
      <tp>
        <v>23.12</v>
        <stp/>
        <stp>HYPE3_B_0</stp>
        <stp>ABE</stp>
        <tr r="AV44" s="18"/>
      </tp>
      <tp>
        <v>0.35763411279228458</v>
        <stp/>
        <stp>WEGE3_B_0</stp>
        <stp>VAR</stp>
        <tr r="AJ15" s="18"/>
      </tp>
      <tp>
        <v>21.6</v>
        <stp/>
        <stp>UGPA3_B_0</stp>
        <stp>ABE</stp>
        <tr r="AV80" s="18"/>
      </tp>
      <tp>
        <v>9.51</v>
        <stp/>
        <stp>ALPA4_B_0</stp>
        <stp>ABE</stp>
        <tr r="AV4" s="18"/>
      </tp>
      <tp>
        <v>17.84</v>
        <stp/>
        <stp>RADL3_B_0</stp>
        <stp>ULT</stp>
        <tr r="AU65" s="18"/>
      </tp>
      <tp>
        <v>0</v>
        <stp/>
        <stp>TRPL4_B_0</stp>
        <stp>ABE</stp>
        <tr r="AV79" s="18"/>
      </tp>
      <tp>
        <v>17.649999999999999</v>
        <stp/>
        <stp>BBDC4_B_0</stp>
        <stp>ULT</stp>
        <tr r="AU12" s="18"/>
      </tp>
      <tp>
        <v>15.14</v>
        <stp/>
        <stp>BBDC3_B_0</stp>
        <stp>ULT</stp>
        <tr r="AL10" s="18"/>
        <tr r="AU11" s="18"/>
      </tp>
      <tp>
        <v>4.0982206891841122E-2</v>
        <stp/>
        <stp>WINFUT_F_0</stp>
        <stp>VAR</stp>
        <tr r="B19" s="18"/>
        <tr r="AH10" s="18"/>
      </tp>
      <tp>
        <v>-0.54013782827342149</v>
        <stp/>
        <stp>WDOFUT_F_0</stp>
        <stp>VAR</stp>
        <tr r="AH14" s="18"/>
        <tr r="H19" s="18"/>
      </tp>
      <tp>
        <v>13.04</v>
        <stp/>
        <stp>RECV3_B_0</stp>
        <stp>ULT</stp>
        <tr r="AU62" s="18"/>
      </tp>
      <tp>
        <v>10.8</v>
        <stp/>
        <stp>NTCO3_B_0</stp>
        <stp>ULT</stp>
        <tr r="AU41" s="18"/>
      </tp>
      <tp>
        <v>5.74</v>
        <stp/>
        <stp>DXCO3_B_0</stp>
        <stp>ULT</stp>
        <tr r="AU29" s="18"/>
      </tp>
      <tp>
        <v>-0.26187803965581852</v>
        <stp/>
        <stp>DI1FUT_F_0</stp>
        <stp>VAR</stp>
        <tr r="AH32" s="18"/>
      </tp>
      <tp>
        <v>-0.54934823091247675</v>
        <stp/>
        <stp>DOLFUT_F_0</stp>
        <stp>VAR</stp>
        <tr r="AH13" s="18"/>
        <tr r="H18" s="18"/>
      </tp>
      <tp>
        <v>1.98</v>
        <stp/>
        <stp>CVCB3_B_0</stp>
        <stp>ULT</stp>
        <tr r="AU27" s="18"/>
      </tp>
      <tp>
        <v>4.4400423511731957E-2</v>
        <stp/>
        <stp>INDFUT_F_0</stp>
        <stp>VAR</stp>
        <tr r="AH9" s="18"/>
        <tr r="B18" s="18"/>
      </tp>
      <tp>
        <v>16.61</v>
        <stp/>
        <stp>SLCE3_B_0</stp>
        <stp>ULT</stp>
        <tr r="AU73" s="18"/>
      </tp>
      <tp>
        <v>-0.3198294243070357</v>
        <stp/>
        <stp>DI1F27_F_0</stp>
        <stp>VAR</stp>
        <tr r="AP17" s="18"/>
        <tr r="AH20" s="18"/>
        <tr r="AJ89" s="18"/>
      </tp>
      <tp>
        <v>-1.1925859948977846E-14</v>
        <stp/>
        <stp>DI1F26_F_0</stp>
        <stp>VAR</stp>
        <tr r="AH19" s="18"/>
      </tp>
      <tp>
        <v>0</v>
        <stp/>
        <stp>DI1F25_F_0</stp>
        <stp>VAR</stp>
        <tr r="AH18" s="18"/>
      </tp>
      <tp>
        <v>0</v>
        <stp/>
        <stp>DI1F24_F_0</stp>
        <stp>VAR</stp>
        <tr r="AH17" s="18"/>
      </tp>
      <tp>
        <v>-0.15094339622642525</v>
        <stp/>
        <stp>DI1F29_F_0</stp>
        <stp>VAR</stp>
        <tr r="AH22" s="18"/>
        <tr r="AJ91" s="18"/>
        <tr r="AP19" s="18"/>
      </tp>
      <tp>
        <v>-0.26187803965581852</v>
        <stp/>
        <stp>DI1F28_F_0</stp>
        <stp>VAR</stp>
        <tr r="AJ90" s="18"/>
        <tr r="AH21" s="18"/>
        <tr r="AP18" s="18"/>
      </tp>
      <tp>
        <v>0</v>
        <stp/>
        <stp>DI1F37_F_0</stp>
        <stp>VAR</stp>
        <tr r="AJ99" s="18"/>
        <tr r="AP27" s="18"/>
      </tp>
      <tp>
        <v>-7.4515648286151717E-2</v>
        <stp/>
        <stp>DI1F36_F_0</stp>
        <stp>VAR</stp>
        <tr r="AJ98" s="18"/>
        <tr r="AP26" s="18"/>
        <tr r="AH29" s="18"/>
      </tp>
      <tp>
        <v>0.18566654288896084</v>
        <stp/>
        <stp>DI1F35_F_0</stp>
        <stp>VAR</stp>
        <tr r="AH28" s="18"/>
        <tr r="AP25" s="18"/>
        <tr r="AJ97" s="18"/>
      </tp>
      <tp>
        <v>0.14836795252225204</v>
        <stp/>
        <stp>DI1F34_F_0</stp>
        <stp>VAR</stp>
        <tr r="AP24" s="18"/>
        <tr r="AH27" s="18"/>
        <tr r="AJ96" s="18"/>
      </tp>
      <tp>
        <v>0.14820303816227917</v>
        <stp/>
        <stp>DI1F33_F_0</stp>
        <stp>VAR</stp>
        <tr r="AH26" s="18"/>
        <tr r="AJ95" s="18"/>
        <tr r="AP23" s="18"/>
      </tp>
      <tp>
        <v>3.7050759540563208E-2</v>
        <stp/>
        <stp>DI1F32_F_0</stp>
        <stp>VAR</stp>
        <tr r="AH25" s="18"/>
        <tr r="AP22" s="18"/>
        <tr r="AJ94" s="18"/>
      </tp>
      <tp>
        <v>0.14914243102160921</v>
        <stp/>
        <stp>DI1F31_F_0</stp>
        <stp>VAR</stp>
        <tr r="AH24" s="18"/>
        <tr r="AP21" s="18"/>
        <tr r="AJ93" s="18"/>
      </tp>
      <tp>
        <v>-0.11240164855751643</v>
        <stp/>
        <stp>DI1F30_F_0</stp>
        <stp>VAR</stp>
        <tr r="AH23" s="18"/>
        <tr r="AP20" s="18"/>
        <tr r="AJ92" s="18"/>
      </tp>
      <tp>
        <v>0</v>
        <stp/>
        <stp>DI1F39_F_0</stp>
        <stp>VAR</stp>
        <tr r="AP29" s="18"/>
        <tr r="AJ101" s="18"/>
      </tp>
      <tp>
        <v>-0.26158445440956757</v>
        <stp/>
        <stp>DI1F38_F_0</stp>
        <stp>VAR</stp>
        <tr r="AP28" s="18"/>
        <tr r="AJ100" s="18"/>
      </tp>
      <tp>
        <v>-3.763643206625937E-2</v>
        <stp/>
        <stp>DI1F40_F_0</stp>
        <stp>VAR</stp>
        <tr r="AP30" s="18"/>
        <tr r="AJ102" s="18"/>
      </tp>
      <tp>
        <v>33.06</v>
        <stp/>
        <stp>VIVT3_B_0</stp>
        <stp>ABE</stp>
        <tr r="AV76" s="18"/>
      </tp>
      <tp>
        <v>1.6521340064249466</v>
        <stp/>
        <stp>BBAS3_B_0</stp>
        <stp>VAR</stp>
        <tr r="AJ16" s="18"/>
      </tp>
      <tp>
        <v>46.95</v>
        <stp/>
        <stp>IRBR3_B_0</stp>
        <stp>ULT</stp>
        <tr r="AU46" s="18"/>
      </tp>
      <tp>
        <v>80.739999999999995</v>
        <stp/>
        <stp>EMBR3_B_0</stp>
        <stp>ULT</stp>
        <tr r="AU32" s="18"/>
      </tp>
      <tp>
        <v>16.649999999999999</v>
        <stp/>
        <stp>GGBR4_B_0</stp>
        <stp>ULT</stp>
        <tr r="AU39" s="18"/>
      </tp>
      <tp>
        <v>24.34</v>
        <stp/>
        <stp>VBBR3_B_0</stp>
        <stp>ULT</stp>
        <tr r="AU84" s="18"/>
      </tp>
      <tp>
        <v>7.49</v>
        <stp/>
        <stp>MRVE3_B_0</stp>
        <stp>ABE</stp>
        <tr r="AV57" s="18"/>
      </tp>
      <tp>
        <v>28.42</v>
        <stp/>
        <stp>VIVA3_B_0</stp>
        <stp>ABE</stp>
        <tr r="AV87" s="18"/>
      </tp>
      <tp>
        <v>-3.3568311513936092E-2</v>
        <stp/>
        <stp>DI1G26_F_0</stp>
        <stp>VAR</stp>
        <tr r="AJ103" s="18"/>
        <tr r="AP31" s="18"/>
      </tp>
      <tp>
        <v>1.626187961985208</v>
        <stp/>
        <stp>BPAC11_B_0</stp>
        <stp>VAR</stp>
        <tr r="AJ14" s="18"/>
      </tp>
      <tp>
        <v>-0.10489183027186474</v>
        <stp/>
        <stp>USD/INR_O_0</stp>
        <stp>VAR</stp>
        <tr r="AH102" s="18"/>
      </tp>
      <tp>
        <v>12.66</v>
        <stp/>
        <stp>YDUQ3_B_0</stp>
        <stp>ABE</stp>
        <tr r="AV86" s="18"/>
      </tp>
      <tp>
        <v>4.3099999999999996</v>
        <stp/>
        <stp>PCAR3_B_0</stp>
        <stp>ULT</stp>
        <tr r="AU59" s="18"/>
      </tp>
      <tp>
        <v>22.15</v>
        <stp/>
        <stp>BBAS3_B_0</stp>
        <stp>ULT</stp>
        <tr r="AL9" s="18"/>
        <tr r="AU14" s="18"/>
      </tp>
      <tp>
        <v>16.8</v>
        <stp/>
        <stp>BRAP4_B_0</stp>
        <stp>ULT</stp>
        <tr r="AU13" s="18"/>
      </tp>
      <tp>
        <v>9.51</v>
        <stp/>
        <stp>GOAU4_B_0</stp>
        <stp>ULT</stp>
        <tr r="AU40" s="18"/>
      </tp>
      <tp>
        <v>9.33</v>
        <stp/>
        <stp>ASAI3_B_0</stp>
        <stp>ULT</stp>
        <tr r="AU7" s="18"/>
      </tp>
      <tp>
        <v>6.17</v>
        <stp/>
        <stp>CSAN3_B_0</stp>
        <stp>ULT</stp>
        <tr r="AU24" s="18"/>
      </tp>
      <tp>
        <v>38.54</v>
        <stp/>
        <stp>ITUB4_B_0</stp>
        <stp>ABE</stp>
        <tr r="AV48" s="18"/>
        <tr r="AM4" s="18"/>
      </tp>
      <tp>
        <v>1.04</v>
        <stp/>
        <stp>AZUL4_B_0</stp>
        <stp>ABE</stp>
        <tr r="AV8" s="18"/>
      </tp>
      <tp>
        <v>1.1440418319028078</v>
        <stp/>
        <stp>IFNC_B_0</stp>
        <stp>VAR</stp>
        <tr r="AR2" s="18"/>
      </tp>
      <tp>
        <v>48.12</v>
        <stp/>
        <stp>BPAC11_B_0</stp>
        <stp>ULT</stp>
        <tr r="AU17" s="18"/>
        <tr r="AL7" s="18"/>
      </tp>
      <tp>
        <v>-0.23095682111604851</v>
        <stp/>
        <stp>USD/JPY_O_0</stp>
        <stp>VAR</stp>
        <tr r="AH97" s="18"/>
      </tp>
      <tp>
        <v>32.49</v>
        <stp/>
        <stp>PETR4_B_0</stp>
        <stp>ABE</stp>
        <tr r="AM2" s="18"/>
        <tr r="AV61" s="18"/>
      </tp>
      <tp>
        <v>35.32</v>
        <stp/>
        <stp>PETR3_B_0</stp>
        <stp>ABE</stp>
        <tr r="AM3" s="18"/>
        <tr r="AV60" s="18"/>
      </tp>
      <tp>
        <v>45.89</v>
        <stp/>
        <stp>TOTS3_B_0</stp>
        <stp>ABE</stp>
        <tr r="AV78" s="18"/>
      </tp>
      <tp>
        <v>3.8</v>
        <stp/>
        <stp>PETZ3_B_0</stp>
        <stp>ABE</stp>
        <tr r="AV64" s="18"/>
      </tp>
      <tp>
        <v>16.11</v>
        <stp/>
        <stp>EZTC3_B_0</stp>
        <stp>ABE</stp>
        <tr r="AV37" s="18"/>
      </tp>
      <tp>
        <v>36.75</v>
        <stp/>
        <stp>EQTL3_B_0</stp>
        <stp>ABE</stp>
        <tr r="AV36" s="18"/>
      </tp>
      <tp>
        <v>17.920000000000002</v>
        <stp/>
        <stp>SMTO3_B_0</stp>
        <stp>ABE</stp>
        <tr r="AV71" s="18"/>
      </tp>
      <tp>
        <v>29.17</v>
        <stp/>
        <stp>SANB11_B_0</stp>
        <stp>ULT</stp>
        <tr r="AU70" s="18"/>
      </tp>
    </main>
    <main first="srv.rtd">
      <tp>
        <v>16581445</v>
        <stp/>
        <stp>PLAYERSRANKING</stp>
        <stp>WDOV25</stp>
        <stp>1099</stp>
        <stp>SALDO</stp>
        <stp>VOLFWITHFACTOR</stp>
        <tr r="AF110" s="18"/>
      </tp>
      <tp>
        <v>14080365</v>
        <stp/>
        <stp>PLAYERSRANKING</stp>
        <stp>WDOV25</stp>
        <stp>4090</stp>
        <stp>SALDO</stp>
        <stp>VOLFWITHFACTOR</stp>
        <tr r="AF96" s="18"/>
      </tp>
      <tp t="s">
        <v>0</v>
        <stp/>
        <stp>PLAYERSRANKING</stp>
        <stp>INDV25</stp>
        <stp>3701</stp>
        <stp>SALDO</stp>
        <stp>VOLFWITHFACTOR</stp>
        <tr r="AC31" s="18"/>
      </tp>
      <tp>
        <v>-245122500</v>
        <stp/>
        <stp>PLAYERSRANKING</stp>
        <stp>DOLV25</stp>
        <stp>1618</stp>
        <stp>SALDO</stp>
        <stp>VOLFWITHFACTOR</stp>
        <tr r="AC129" s="18"/>
      </tp>
      <tp>
        <v>-1460925</v>
        <stp/>
        <stp>PLAYERSRANKING</stp>
        <stp>INDV25</stp>
        <stp>6003</stp>
        <stp>SALDO</stp>
        <stp>VOLFWITHFACTOR</stp>
        <tr r="AC24" s="18"/>
      </tp>
      <tp t="s">
        <v>0</v>
        <stp/>
        <stp>PLAYERSRANKING</stp>
        <stp>DOLV25</stp>
        <stp>3701</stp>
        <stp>SALDO</stp>
        <stp>VOLFWITHFACTOR</stp>
        <tr r="AC119" s="18"/>
      </tp>
      <tp>
        <v>-49117150</v>
        <stp/>
        <stp>PLAYERSRANKING</stp>
        <stp>INDV25</stp>
        <stp>1618</stp>
        <stp>SALDO</stp>
        <stp>VOLFWITHFACTOR</stp>
        <tr r="AC17" s="18"/>
      </tp>
      <tp>
        <v>216593000</v>
        <stp/>
        <stp>PLAYERSRANKING</stp>
        <stp>DOLV25</stp>
        <stp>6003</stp>
        <stp>SALDO</stp>
        <stp>VOLFWITHFACTOR</stp>
        <tr r="AC109" s="18"/>
      </tp>
      <tp>
        <v>102477717</v>
        <stp/>
        <stp>PLAYERSRANKING</stp>
        <stp>WINV25</stp>
        <stp>1618</stp>
        <stp>SALDO</stp>
        <stp>VOLFWITHFACTOR</stp>
        <tr r="AF40" s="18"/>
      </tp>
      <tp>
        <v>-3997483</v>
        <stp/>
        <stp>PLAYERSRANKING</stp>
        <stp>WINV25</stp>
        <stp>6003</stp>
        <stp>SALDO</stp>
        <stp>VOLFWITHFACTOR</stp>
        <tr r="AF26" s="18"/>
      </tp>
      <tp t="s">
        <v>0</v>
        <stp/>
        <stp>PLAYERSRANKING</stp>
        <stp>WINV25</stp>
        <stp>3701</stp>
        <stp>SALDO</stp>
        <stp>VOLFWITHFACTOR</stp>
        <tr r="AF30" s="18"/>
      </tp>
      <tp t="s">
        <v>0</v>
        <stp/>
        <stp>PLAYERSRANKING</stp>
        <stp>WINV25</stp>
        <stp>1130</stp>
        <stp>SALDO</stp>
        <stp>VOLFWITHFACTOR</stp>
        <tr r="AF31" s="18"/>
      </tp>
      <tp>
        <v>-283906895</v>
        <stp/>
        <stp>PLAYERSRANKING</stp>
        <stp>WDOV25</stp>
        <stp>6003</stp>
        <stp>SALDO</stp>
        <stp>VOLFWITHFACTOR</stp>
        <tr r="AF109" s="18"/>
      </tp>
      <tp t="s">
        <v>0</v>
        <stp/>
        <stp>PLAYERSRANKING</stp>
        <stp>WDOV25</stp>
        <stp>3701</stp>
        <stp>SALDO</stp>
        <stp>VOLFWITHFACTOR</stp>
        <tr r="AF119" s="18"/>
      </tp>
      <tp>
        <v>369041535</v>
        <stp/>
        <stp>PLAYERSRANKING</stp>
        <stp>WDOV25</stp>
        <stp>1618</stp>
        <stp>SALDO</stp>
        <stp>VOLFWITHFACTOR</stp>
        <tr r="AF129" s="18"/>
      </tp>
      <tp>
        <v>-1000</v>
        <stp/>
        <stp>PLAYERSRANKING</stp>
        <stp>DOLV25</stp>
        <stp>1099</stp>
        <stp>SALDO</stp>
        <stp>VOLFWITHFACTOR</stp>
        <tr r="AC110" s="18"/>
      </tp>
      <tp>
        <v>1875</v>
        <stp/>
        <stp>PLAYERSRANKING</stp>
        <stp>DOLV25</stp>
        <stp>4090</stp>
        <stp>SALDO</stp>
        <stp>VOLFWITHFACTOR</stp>
        <tr r="AC96" s="18"/>
      </tp>
      <tp>
        <v>-737975</v>
        <stp/>
        <stp>PLAYERSRANKING</stp>
        <stp>INDV25</stp>
        <stp>4090</stp>
        <stp>SALDO</stp>
        <stp>VOLFWITHFACTOR</stp>
        <tr r="AC18" s="18"/>
      </tp>
      <tp t="s">
        <v>0</v>
        <stp/>
        <stp>PLAYERSRANKING</stp>
        <stp>INDV25</stp>
        <stp>1099</stp>
        <stp>SALDO</stp>
        <stp>VOLFWITHFACTOR</stp>
        <tr r="AC25" s="18"/>
      </tp>
      <tp>
        <v>-5465399</v>
        <stp/>
        <stp>PLAYERSRANKING</stp>
        <stp>WINV25</stp>
        <stp>1099</stp>
        <stp>SALDO</stp>
        <stp>VOLFWITHFACTOR</stp>
        <tr r="AF35" s="18"/>
      </tp>
      <tp>
        <v>7722659</v>
        <stp/>
        <stp>PLAYERSRANKING</stp>
        <stp>WINV25</stp>
        <stp>4090</stp>
        <stp>SALDO</stp>
        <stp>VOLFWITHFACTOR</stp>
        <tr r="AF18" s="18"/>
      </tp>
      <tp t="s">
        <v>0</v>
        <stp/>
        <stp>PLAYERSRANKING</stp>
        <stp>INDV25</stp>
        <stp>4</stp>
        <stp>SALDO</stp>
        <stp>VOLFWITHFACTOR</stp>
        <tr r="AC26" s="18"/>
      </tp>
      <tp>
        <v>50408025</v>
        <stp/>
        <stp>PLAYERSRANKING</stp>
        <stp>INDV25</stp>
        <stp>3</stp>
        <stp>SALDO</stp>
        <stp>VOLFWITHFACTOR</stp>
        <tr r="AC10" s="18"/>
      </tp>
      <tp>
        <v>-93679650</v>
        <stp/>
        <stp>PLAYERSRANKING</stp>
        <stp>INDV25</stp>
        <stp>8</stp>
        <stp>SALDO</stp>
        <stp>VOLFWITHFACTOR</stp>
        <tr r="AC42" s="18"/>
      </tp>
      <tp>
        <v>0.38737604991208002</v>
        <stp/>
        <stp>SQT</stp>
        <stp>NASDAQ-CFD</stp>
        <stp>VAR</stp>
        <tr r="AH92" s="18"/>
      </tp>
    </main>
    <main first="rtdtrading.rtdserver">
      <tp t="s">
        <v>-2.480</v>
        <stp/>
        <stp>DOLFUT_F_0</stp>
        <stp>100</stp>
        <tr r="K19" s="18"/>
      </tp>
      <tp t="s">
        <v>-605</v>
        <stp/>
        <stp>INDFUT_F_0</stp>
        <stp>100</stp>
        <tr r="AP15" s="18"/>
        <tr r="B15" s="18"/>
      </tp>
      <tp t="s">
        <v>78.294</v>
        <stp/>
        <stp>WINFUT_F_0</stp>
        <stp>100</stp>
        <tr r="AP14" s="18"/>
        <tr r="B14" s="18"/>
      </tp>
      <tp t="s">
        <v>-63.851</v>
        <stp/>
        <stp>WDOFUT_F_0</stp>
        <stp>100</stp>
        <tr r="K18" s="18"/>
      </tp>
    </main>
    <main first="srv.rtd">
      <tp>
        <v>0.57928269480007599</v>
        <stp/>
        <stp>SQT</stp>
        <stp>SP500-CFD</stp>
        <stp>VAR</stp>
        <tr r="AH90" s="18"/>
      </tp>
      <tp>
        <v>-1000863250</v>
        <stp/>
        <stp>PLAYERSRANKING</stp>
        <stp>DOLV25</stp>
        <stp>3</stp>
        <stp>SALDO</stp>
        <stp>VOLFWITHFACTOR</stp>
        <tr r="AC99" s="18"/>
      </tp>
      <tp>
        <v>-308553875</v>
        <stp/>
        <stp>PLAYERSRANKING</stp>
        <stp>DOLV25</stp>
        <stp>8</stp>
        <stp>SALDO</stp>
        <stp>VOLFWITHFACTOR</stp>
        <tr r="AC127" s="18"/>
      </tp>
      <tp>
        <v>-0.32503809040123099</v>
        <stp/>
        <stp>SQT</stp>
        <stp>DOLINDEX-CFD</stp>
        <stp>VAR</stp>
        <tr r="H14" s="18"/>
      </tp>
      <tp>
        <v>29223645</v>
        <stp/>
        <stp>PLAYERSRANKING</stp>
        <stp>WDOV25</stp>
        <stp>3</stp>
        <stp>SALDO</stp>
        <stp>VOLFWITHFACTOR</stp>
        <tr r="AF99" s="18"/>
      </tp>
      <tp>
        <v>-175720390</v>
        <stp/>
        <stp>PLAYERSRANKING</stp>
        <stp>WDOV25</stp>
        <stp>8</stp>
        <stp>SALDO</stp>
        <stp>VOLFWITHFACTOR</stp>
        <tr r="AF127" s="18"/>
      </tp>
      <tp>
        <v>-350111875</v>
        <stp/>
        <stp>PLAYERSRANKING</stp>
        <stp>WINV25</stp>
        <stp>3</stp>
        <stp>SALDO</stp>
        <stp>VOLFWITHFACTOR</stp>
        <tr r="AF8" s="18"/>
      </tp>
      <tp>
        <v>-443755278</v>
        <stp/>
        <stp>PLAYERSRANKING</stp>
        <stp>WINV25</stp>
        <stp>8</stp>
        <stp>SALDO</stp>
        <stp>VOLFWITHFACTOR</stp>
        <tr r="AF43" s="18"/>
      </tp>
    </main>
    <main first="rtdtrading.rtdserver">
      <tp>
        <v>3.3</v>
        <stp/>
        <stp>BBD_Y_0</stp>
        <stp>ABE</stp>
        <tr r="AM16" s="18"/>
      </tp>
      <tp>
        <v>13.1</v>
        <stp/>
        <stp>PBR_Y_0</stp>
        <stp>ULT</stp>
        <tr r="AL14" s="18"/>
      </tp>
      <tp>
        <v>0.40876389797253104</v>
        <stp/>
        <stp>EWZ_N_0</stp>
        <stp>VAR</stp>
        <tr r="AR4" s="18"/>
        <tr r="AH89" s="18"/>
      </tp>
      <tp>
        <v>-7.6277650648371956E-2</v>
        <stp/>
        <stp>PBR_Y_0</stp>
        <stp>VAR</stp>
        <tr r="AJ22" s="18"/>
      </tp>
      <tp>
        <v>3.06</v>
        <stp/>
        <stp>GGB_Y_0</stp>
        <stp>ABE</stp>
        <tr r="AM18" s="18"/>
      </tp>
      <tp>
        <v>13.2</v>
        <stp/>
        <stp>PBR_Y_0</stp>
        <stp>ABE</stp>
        <tr r="AM14" s="18"/>
      </tp>
      <tp>
        <v>0.98039215686273862</v>
        <stp/>
        <stp>GGB_Y_0</stp>
        <stp>VAR</stp>
        <tr r="AJ26" s="18"/>
      </tp>
      <tp>
        <v>3.09</v>
        <stp/>
        <stp>GGB_Y_0</stp>
        <stp>ULT</stp>
        <tr r="AL18" s="18"/>
      </tp>
      <tp>
        <v>0.6097560975609625</v>
        <stp/>
        <stp>BBD_Y_0</stp>
        <stp>VAR</stp>
        <tr r="AJ24" s="18"/>
      </tp>
      <tp>
        <v>3.3</v>
        <stp/>
        <stp>BBD_Y_0</stp>
        <stp>ULT</stp>
        <tr r="AL16" s="18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volatileDependencies" Target="volatileDependenci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refreshOnLoad="1" connectionId="2" xr16:uid="{5F8B0599-ACAB-4F98-BCAC-A3BB29069A78}" autoFormatId="16" applyNumberFormats="0" applyBorderFormats="0" applyFontFormats="0" applyPatternFormats="0" applyAlignmentFormats="0" applyWidthHeightFormats="0">
  <queryTableRefresh nextId="3">
    <queryTableFields count="2">
      <queryTableField id="1" name="Nome" tableColumnId="1"/>
      <queryTableField id="2" name="Var. %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D2FD66A-6A06-4325-B02C-F330DB54E942}" name="DOLAR2" displayName="DOLAR2" ref="AG110:AH119" tableType="queryTable" totalsRowCount="1" headerRowDxfId="40" dataDxfId="39" totalsRowDxfId="38">
  <tableColumns count="2">
    <tableColumn id="1" xr3:uid="{4CC75E0F-310E-436B-B846-47426E6FD766}" uniqueName="1" name="Nome" totalsRowLabel="JUROS USA" queryTableFieldId="1" dataDxfId="1" totalsRowDxfId="2"/>
    <tableColumn id="2" xr3:uid="{90DC1E94-DA6D-4240-A839-356A12B03C53}" uniqueName="2" name="Var. %" totalsRowFunction="custom" queryTableFieldId="2" dataDxfId="0" totalsRowDxfId="3">
      <totalsRowFormula>SUM(DOLAR2[Var. %])</totalsRow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CBA3F67-EB4A-4BC6-92AD-847025F318AA}" name="Tabela2" displayName="Tabela2" ref="D10:E12" totalsRowShown="0" headerRowDxfId="37">
  <tableColumns count="2">
    <tableColumn id="1" xr3:uid="{25784030-2D16-4B3F-848F-EDBEEF0C2D3B}" name="10 PRICIPAIS AÇÕES" dataDxfId="36"/>
    <tableColumn id="2" xr3:uid="{E801DFDF-1A12-42F6-8B5A-3F9513CCE7C5}" name="Coluna1">
      <calculatedColumnFormula>COUNTIF(AN1:AN10,"NEGATIVO")</calculatedColumnFormula>
    </tableColumn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43E9469-9681-44EE-996F-616F0CC7B711}" name="Tabela3" displayName="Tabela3" ref="D15:E17" totalsRowShown="0" headerRowDxfId="35">
  <tableColumns count="2">
    <tableColumn id="1" xr3:uid="{971F55D3-991D-46A9-A9CC-2570FDD17972}" name="86 AÇÕES" dataDxfId="34"/>
    <tableColumn id="2" xr3:uid="{E8CD9D33-4C5E-4605-BA02-0EBCDCC36D28}" name="Coluna1">
      <calculatedColumnFormula>COUNTIF(AW1:AW86,"NEGATIVO")</calculatedColumnFormula>
    </tableColumn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EFDD5C4-7BD3-4187-A0BB-5CF4BAB9A904}" name="Tabela4" displayName="Tabela4" ref="D20:E22" totalsRowShown="0" headerRowDxfId="33">
  <tableColumns count="2">
    <tableColumn id="1" xr3:uid="{4624F0B7-E831-4A15-8E43-3FEAE12EE03A}" name="ADR'S" dataDxfId="32"/>
    <tableColumn id="2" xr3:uid="{F621250B-697B-4877-AB57-8DE5245D43DE}" name="Coluna1">
      <calculatedColumnFormula>COUNTIF(AN12:AN17,"NEGATIVO")</calculatedColumnFormula>
    </tableColumn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5B88DF3-6B9D-40CD-98CE-166771AC3AE6}" name="Tabela5" displayName="Tabela5" ref="J11:K13" totalsRowShown="0" headerRowDxfId="31">
  <tableColumns count="2">
    <tableColumn id="1" xr3:uid="{BF6C26AE-7753-49E1-AED4-981909DE290C}" name="                              JUROS " dataDxfId="30"/>
    <tableColumn id="2" xr3:uid="{E961B42A-0EBA-42D6-8005-AA95FDFA4194}" name="DI's">
      <calculatedColumnFormula>COUNTIF(AQ16:AQ58,"NEGATIVO")</calculatedColumnFormula>
    </tableColumn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93ECB01-8D7D-48F4-9843-8E11492D4CDF}" name="Tabela6" displayName="Tabela6" ref="J1:K5" totalsRowShown="0" headerRowDxfId="29">
  <tableColumns count="2">
    <tableColumn id="1" xr3:uid="{B474B41F-3B06-46F0-8F46-574B27EC6A6D}" name="DADOS" dataDxfId="28"/>
    <tableColumn id="2" xr3:uid="{23FAD67E-BE8E-4DAB-A850-00E1B1A18239}" name="DOLAR" dataDxfId="27"/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608333F-9556-4B5E-BE81-BB636E18F5C7}" name="Tabela7" displayName="Tabela7" ref="D1:E9" totalsRowShown="0" headerRowDxfId="26">
  <tableColumns count="2">
    <tableColumn id="1" xr3:uid="{814E171D-406F-4EA3-8D7B-B0AC945BE86E}" name="DADOS" dataDxfId="25"/>
    <tableColumn id="2" xr3:uid="{694B1EFF-607F-4218-A8CC-AAC44402F109}" name="INDICE" dataDxfId="24"/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A1C9092-CBE4-4348-88CA-3B06979FD934}" name="Tabela9" displayName="Tabela9" ref="A17:B19" totalsRowShown="0" headerRowDxfId="23">
  <tableColumns count="2">
    <tableColumn id="1" xr3:uid="{BE5E531D-4DAE-490F-8191-DD95151D38FE}" name="VARIAÇÃO" dataDxfId="22"/>
    <tableColumn id="2" xr3:uid="{1015DAE6-9238-4240-AA7C-888A029A138F}" name="INDICE" dataDxfId="21">
      <calculatedColumnFormula>RTD("rtdtrading.rtdserver",, "WINFUT_F_0", "VAR")/100</calculatedColumnFormula>
    </tableColumn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E05BA0-5139-4199-AF05-41A0D5A30E59}" name="Tabela10" displayName="Tabela10" ref="A13:B15" totalsRowShown="0" headerRowDxfId="20">
  <tableColumns count="2">
    <tableColumn id="1" xr3:uid="{467A2DF5-6480-439E-8630-80A72A18E94C}" name="AGRESSÃO WINFUT" dataDxfId="19"/>
    <tableColumn id="2" xr3:uid="{C0BB7969-A7C8-4819-8F01-6D70D0F14F89}" name="/INDFUT" dataDxfId="18">
      <calculatedColumnFormula>RTD("rtdtrading.rtdserver",, "WINFUT_F_0", "100")</calculatedColumnFormula>
    </tableColumn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AF94EE6-FB07-463B-AF09-BF24020C68BA}" name="Tabela11" displayName="Tabela11" ref="G17:H19" totalsRowShown="0" headerRowDxfId="17">
  <tableColumns count="2">
    <tableColumn id="1" xr3:uid="{73C01687-C169-4081-B7F3-D86449E6F06E}" name="VARIAÇÃO  " dataDxfId="16"/>
    <tableColumn id="2" xr3:uid="{A35C060A-996A-47DC-B75E-BA8F3330D20F}" name="DOLAR" dataDxfId="15">
      <calculatedColumnFormula>RTD("rtdtrading.rtdserver",, "WDOFUT_F_0", "VAR")/100</calculatedColumnFormula>
    </tableColumn>
  </tableColumns>
  <tableStyleInfo name="TableStyleMedium15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7E6D1A9-8D82-4DC5-8928-AFF6BCD15E8F}" name="Tabela12" displayName="Tabela12" ref="A1:B4" totalsRowShown="0" headerRowDxfId="14">
  <tableColumns count="2">
    <tableColumn id="1" xr3:uid="{8EFB0177-1FB1-4CDA-91E6-BF6111E5DADB}" name="                                 POSIÇÃO" dataDxfId="13"/>
    <tableColumn id="2" xr3:uid="{637533BC-BC2E-4CD4-BE50-AF28518869B6}" name="DO INDICE" dataDxfId="12">
      <calculatedColumnFormula>SUM(AC2+AF2)</calculatedColumnFormula>
    </tableColumn>
  </tableColumns>
  <tableStyleInfo name="TableStyleMedium1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1DB0B10-0A2D-4BF2-8DBB-FDAC78ACDE2A}" name="Tabela13" displayName="Tabela13" ref="A7:B10" totalsRowShown="0" headerRowDxfId="11">
  <tableColumns count="2">
    <tableColumn id="1" xr3:uid="{49F07047-7729-4A12-B039-8EAA12DE468C}" name="                                 POSIÇÃO   " dataDxfId="10"/>
    <tableColumn id="2" xr3:uid="{62BE7166-57FC-4A96-8066-BA24D140D4A3}" name="PLAYERS INDICE" dataDxfId="9"/>
  </tableColumns>
  <tableStyleInfo name="TableStyleMedium15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9F121A8-D92E-4810-8D9C-7BA519E302B3}" name="Tabela14" displayName="Tabela14" ref="G1:H4" totalsRowShown="0" headerRowDxfId="8">
  <tableColumns count="2">
    <tableColumn id="1" xr3:uid="{5EBFD811-BD18-479D-B8FB-58E150EF922B}" name="                     POSIÇÃO " dataDxfId="7"/>
    <tableColumn id="2" xr3:uid="{2C907623-98D1-4B3D-A4DE-1474577A3E49}" name=" DO DOLAR" dataDxfId="6"/>
  </tableColumns>
  <tableStyleInfo name="TableStyleMedium15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72389E6-BB53-40DC-BBFA-1F1BA66AB6B0}" name="Tabela15" displayName="Tabela15" ref="G7:H10" totalsRowShown="0" headerRowDxfId="5">
  <tableColumns count="2">
    <tableColumn id="1" xr3:uid="{5024E9E0-1B6D-435C-B12E-FC29097971FD}" name="                      POSIÇÃO" dataDxfId="4"/>
    <tableColumn id="2" xr3:uid="{1C95228E-09FD-448A-8249-95A347FC7043}" name="PLAYERS DOLAR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D42AAE-14A7-4933-9288-1D59D8A6E003}">
  <sheetPr codeName="Planilha1"/>
  <dimension ref="A1:AW132"/>
  <sheetViews>
    <sheetView tabSelected="1" zoomScaleNormal="100" workbookViewId="0">
      <selection activeCell="B10" sqref="B10"/>
    </sheetView>
  </sheetViews>
  <sheetFormatPr defaultRowHeight="15" x14ac:dyDescent="0.25"/>
  <cols>
    <col min="1" max="1" width="26.5703125" customWidth="1"/>
    <col min="2" max="2" width="25.42578125" customWidth="1"/>
    <col min="4" max="4" width="20.42578125" customWidth="1"/>
    <col min="5" max="5" width="15.85546875" customWidth="1"/>
    <col min="7" max="7" width="20.5703125" customWidth="1"/>
    <col min="8" max="8" width="23.5703125" customWidth="1"/>
    <col min="10" max="10" width="22.140625" customWidth="1"/>
    <col min="11" max="11" width="19.28515625" customWidth="1"/>
    <col min="26" max="26" width="9.140625" customWidth="1"/>
    <col min="27" max="27" width="16.42578125" customWidth="1"/>
    <col min="28" max="28" width="18.5703125" customWidth="1"/>
    <col min="29" max="29" width="19.28515625" customWidth="1"/>
    <col min="30" max="30" width="9.140625" customWidth="1"/>
    <col min="31" max="31" width="18.28515625" customWidth="1"/>
    <col min="32" max="32" width="23.28515625" customWidth="1"/>
    <col min="33" max="33" width="14.85546875" bestFit="1" customWidth="1"/>
    <col min="34" max="34" width="7.42578125" bestFit="1" customWidth="1"/>
    <col min="35" max="35" width="11" customWidth="1"/>
    <col min="36" max="36" width="10.7109375" customWidth="1"/>
    <col min="37" max="37" width="9.140625" customWidth="1"/>
    <col min="38" max="38" width="15.28515625" customWidth="1"/>
    <col min="39" max="39" width="16.28515625" customWidth="1"/>
    <col min="40" max="40" width="11.140625" customWidth="1"/>
    <col min="41" max="41" width="13.28515625" customWidth="1"/>
    <col min="42" max="42" width="11.140625" customWidth="1"/>
    <col min="43" max="43" width="12.28515625" customWidth="1"/>
    <col min="49" max="49" width="11" customWidth="1"/>
  </cols>
  <sheetData>
    <row r="1" spans="1:49" x14ac:dyDescent="0.25">
      <c r="A1" s="55" t="s">
        <v>275</v>
      </c>
      <c r="B1" s="54" t="s">
        <v>274</v>
      </c>
      <c r="C1" s="24"/>
      <c r="D1" s="62" t="s">
        <v>312</v>
      </c>
      <c r="E1" s="64" t="s">
        <v>74</v>
      </c>
      <c r="F1" s="53"/>
      <c r="G1" s="62" t="s">
        <v>283</v>
      </c>
      <c r="H1" s="56" t="s">
        <v>282</v>
      </c>
      <c r="I1" s="24"/>
      <c r="J1" s="62" t="s">
        <v>312</v>
      </c>
      <c r="K1" s="32" t="s">
        <v>73</v>
      </c>
      <c r="L1" s="24"/>
      <c r="M1" s="24"/>
      <c r="N1" s="24"/>
      <c r="O1" s="24"/>
      <c r="P1" s="24"/>
      <c r="Q1" s="24"/>
      <c r="R1" s="24"/>
      <c r="S1" s="24"/>
      <c r="T1" s="24"/>
      <c r="U1" s="74"/>
      <c r="V1" s="24"/>
      <c r="W1" s="24"/>
      <c r="X1" s="24"/>
      <c r="Y1" s="24"/>
      <c r="Z1" s="24"/>
      <c r="AA1" s="6"/>
      <c r="AB1" s="6" t="s">
        <v>77</v>
      </c>
      <c r="AC1" s="18"/>
      <c r="AD1" s="1"/>
      <c r="AE1" s="6" t="s">
        <v>78</v>
      </c>
      <c r="AF1" s="11" t="s">
        <v>15</v>
      </c>
      <c r="AG1" s="1"/>
      <c r="AH1" s="1"/>
      <c r="AI1" s="1"/>
      <c r="AJ1" s="1"/>
      <c r="AK1" s="5" t="s">
        <v>270</v>
      </c>
      <c r="AL1" s="5" t="s">
        <v>268</v>
      </c>
      <c r="AM1" s="5" t="s">
        <v>269</v>
      </c>
      <c r="AN1" s="1"/>
      <c r="AO1" s="5" t="s">
        <v>67</v>
      </c>
      <c r="AP1" s="1"/>
      <c r="AQ1" s="6" t="s">
        <v>151</v>
      </c>
      <c r="AR1" s="1"/>
      <c r="AS1" s="1"/>
      <c r="AT1" s="1"/>
      <c r="AU1" s="1"/>
      <c r="AV1" s="1"/>
      <c r="AW1" s="1"/>
    </row>
    <row r="2" spans="1:49" x14ac:dyDescent="0.25">
      <c r="A2" s="12" t="s">
        <v>66</v>
      </c>
      <c r="B2" s="38">
        <f>SUM(AC2+AF2)</f>
        <v>-348307789</v>
      </c>
      <c r="C2" s="24"/>
      <c r="D2" s="12" t="s">
        <v>90</v>
      </c>
      <c r="E2" s="40">
        <f>AJ19</f>
        <v>2.7118995050277251E-2</v>
      </c>
      <c r="F2" s="53"/>
      <c r="G2" s="12" t="s">
        <v>284</v>
      </c>
      <c r="H2" s="38">
        <f>SUM(AC89,AF89)</f>
        <v>3282629985</v>
      </c>
      <c r="I2" s="24"/>
      <c r="J2" s="12" t="s">
        <v>287</v>
      </c>
      <c r="K2" s="32">
        <f>AH93</f>
        <v>2.1617144220528853E-2</v>
      </c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13"/>
      <c r="AB2" s="6" t="s">
        <v>66</v>
      </c>
      <c r="AC2" s="16">
        <f>SUM(AC32,AF12,AC34,AC39,AF16,AC15,AC38,AF11,AC11,AF41,AC41,AF14,AC37,AF44,AC42,AF43,AC22,AF38)</f>
        <v>-223542107</v>
      </c>
      <c r="AD2" s="3"/>
      <c r="AE2" s="6" t="s">
        <v>66</v>
      </c>
      <c r="AF2" s="16">
        <f>SUM(AF12,AF16,AF11,AF41,AF14,AF44,AF43,AF38)</f>
        <v>-124765682</v>
      </c>
      <c r="AG2" s="3"/>
      <c r="AH2" s="3"/>
      <c r="AI2" s="3"/>
      <c r="AJ2" s="3"/>
      <c r="AK2" s="12" t="s">
        <v>80</v>
      </c>
      <c r="AL2" s="34">
        <f>RTD("rtdtrading.rtdserver",, "PETR4_B_0", "ULT")</f>
        <v>32.31</v>
      </c>
      <c r="AM2" s="34">
        <f>RTD("rtdtrading.rtdserver",, "PETR4_B_0", "ABE")</f>
        <v>32.49</v>
      </c>
      <c r="AN2" s="34" t="str">
        <f>IF(AL2&gt;AM2,"POSITIVO",IF(AL2&lt;AM2,"NEGATIVO",IF(AL2=AM2,"NEUTRO")))</f>
        <v>NEGATIVO</v>
      </c>
      <c r="AO2" s="12" t="s">
        <v>102</v>
      </c>
      <c r="AP2" s="35">
        <f>RTD("rtdtrading.rtdserver",, "BRL/USD_O_0", "VAR")/100</f>
        <v>4.9091669975212682E-3</v>
      </c>
      <c r="AQ2" s="12" t="s">
        <v>151</v>
      </c>
      <c r="AR2" s="19">
        <f>RTD("rtdtrading.rtdserver",, "IFNC_B_0", "VAR")/100</f>
        <v>1.1440418319028079E-2</v>
      </c>
      <c r="AS2" s="12">
        <v>1</v>
      </c>
      <c r="AT2" s="12" t="s">
        <v>154</v>
      </c>
      <c r="AU2" s="34">
        <f>RTD("rtdtrading.rtdserver",, "RRRP3_B_0", "ULT")</f>
        <v>0</v>
      </c>
      <c r="AV2" s="34">
        <f>RTD("rtdtrading.rtdserver",, "RRRP3_B_0", "ABE")</f>
        <v>0</v>
      </c>
      <c r="AW2" s="34" t="str">
        <f>IF(AU2&gt;AV2,"POSITIVO",IF(AU2&lt;AV2,"NEGATIVO",IF(AU2=AV2,"NEUTRO")))</f>
        <v>NEUTRO</v>
      </c>
    </row>
    <row r="3" spans="1:49" x14ac:dyDescent="0.25">
      <c r="A3" s="12" t="s">
        <v>107</v>
      </c>
      <c r="B3" s="38">
        <f>SUM(AC3+AF3)</f>
        <v>128699128</v>
      </c>
      <c r="C3" s="24"/>
      <c r="D3" s="12" t="s">
        <v>106</v>
      </c>
      <c r="E3" s="40">
        <f>AH34</f>
        <v>1.2799175919709798E-3</v>
      </c>
      <c r="F3" s="53"/>
      <c r="G3" s="12" t="s">
        <v>107</v>
      </c>
      <c r="H3" s="38">
        <f>SUM(AC90,AF90)</f>
        <v>-468961570</v>
      </c>
      <c r="I3" s="24"/>
      <c r="J3" s="12" t="s">
        <v>67</v>
      </c>
      <c r="K3" s="32">
        <f>AH109</f>
        <v>-4.8354578060711965E-2</v>
      </c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13"/>
      <c r="AB3" s="6" t="s">
        <v>130</v>
      </c>
      <c r="AC3" s="16">
        <f>SUM(AC36,AF36,AC15,AC38,AF11,AC33,AF42,AC11,AF41,AC41,AF14,AC37,AF44,AC8,AF34,AC27,AF24,AF19)</f>
        <v>23369039</v>
      </c>
      <c r="AD3" s="3"/>
      <c r="AE3" s="6" t="s">
        <v>130</v>
      </c>
      <c r="AF3" s="16">
        <f>SUM(AF36,AF11,AF42,AF41,AF14,AF44,AF34,AF24,AF19)</f>
        <v>105330089</v>
      </c>
      <c r="AG3" s="3"/>
      <c r="AH3" s="3"/>
      <c r="AI3" s="3"/>
      <c r="AJ3" s="17"/>
      <c r="AK3" s="12" t="s">
        <v>81</v>
      </c>
      <c r="AL3" s="34">
        <f>RTD("rtdtrading.rtdserver",, "PETR3_B_0", "ULT")</f>
        <v>35.01</v>
      </c>
      <c r="AM3" s="34">
        <f>RTD("rtdtrading.rtdserver",, "PETR3_B_0", "ABE")</f>
        <v>35.32</v>
      </c>
      <c r="AN3" s="34" t="str">
        <f t="shared" ref="AN3:AN11" si="0">IF(AL3&gt;AM3,"POSITIVO",IF(AL3&lt;AM3,"NEGATIVO",IF(AL3=AM3,"NEUTRO")))</f>
        <v>NEGATIVO</v>
      </c>
      <c r="AO3" s="12" t="s">
        <v>103</v>
      </c>
      <c r="AP3" s="35">
        <f>RTD("rtdtrading.rtdserver",, "BRL/JPY_O_0", "VAR")/100</f>
        <v>2.5863673988407408E-3</v>
      </c>
      <c r="AQ3" s="6" t="s">
        <v>148</v>
      </c>
      <c r="AR3" s="1"/>
      <c r="AS3" s="12">
        <v>2</v>
      </c>
      <c r="AT3" s="12" t="s">
        <v>155</v>
      </c>
      <c r="AU3" s="34">
        <f>RTD("rtdtrading.rtdserver",, "ALOS3_B_0", "ULT")</f>
        <v>25.67</v>
      </c>
      <c r="AV3" s="34">
        <f>RTD("rtdtrading.rtdserver",, "ALOS3_B_0", "ABE")</f>
        <v>25.55</v>
      </c>
      <c r="AW3" s="34" t="str">
        <f t="shared" ref="AW3:AW66" si="1">IF(AU3&gt;AV3,"POSITIVO",IF(AU3&lt;AV3,"NEGATIVO",IF(AU3=AV3,"NEUTRO")))</f>
        <v>POSITIVO</v>
      </c>
    </row>
    <row r="4" spans="1:49" x14ac:dyDescent="0.25">
      <c r="A4" s="12" t="s">
        <v>75</v>
      </c>
      <c r="B4" s="38">
        <f>SUM(AC4+AF4)</f>
        <v>-9947303</v>
      </c>
      <c r="C4" s="24"/>
      <c r="D4" s="12" t="s">
        <v>98</v>
      </c>
      <c r="E4" s="40">
        <f>AJ27</f>
        <v>1.2904193236999682E-2</v>
      </c>
      <c r="F4" s="53"/>
      <c r="G4" s="12" t="s">
        <v>75</v>
      </c>
      <c r="H4" s="38">
        <f>SUM(AC91+AF91)</f>
        <v>2484288425</v>
      </c>
      <c r="I4" s="24"/>
      <c r="J4" s="12" t="s">
        <v>320</v>
      </c>
      <c r="K4" s="32">
        <f>AP60</f>
        <v>-3.8548053848737482E-2</v>
      </c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13"/>
      <c r="AB4" s="6" t="s">
        <v>75</v>
      </c>
      <c r="AC4" s="16">
        <f>SUM(AC10,AF8,AC18,AF18,AC23,AF17,AC20,AF37,AC14,AF39,AC9,AF9,AC31,AF30)</f>
        <v>10357911</v>
      </c>
      <c r="AD4" s="3"/>
      <c r="AE4" s="6" t="s">
        <v>75</v>
      </c>
      <c r="AF4" s="16">
        <f>SUM(AF8,AF18,AF17,AF37,AF39,AF9,AF30)</f>
        <v>-20305214</v>
      </c>
      <c r="AG4" s="3"/>
      <c r="AH4" s="3"/>
      <c r="AI4" s="3"/>
      <c r="AJ4" s="3"/>
      <c r="AK4" s="12" t="s">
        <v>82</v>
      </c>
      <c r="AL4" s="34">
        <f>RTD("rtdtrading.rtdserver",, "ITUB4_B_0", "ULT")</f>
        <v>38.729999999999997</v>
      </c>
      <c r="AM4" s="34">
        <f>RTD("rtdtrading.rtdserver",, "ITUB4_B_0", "ABE")</f>
        <v>38.54</v>
      </c>
      <c r="AN4" s="34" t="str">
        <f t="shared" si="0"/>
        <v>POSITIVO</v>
      </c>
      <c r="AO4" s="12" t="s">
        <v>104</v>
      </c>
      <c r="AP4" s="35">
        <f>RTD("rtdtrading.rtdserver",, "BRL/EUR_O_0", "VAR")/100</f>
        <v>1.7206427069776597E-3</v>
      </c>
      <c r="AQ4" s="12" t="s">
        <v>148</v>
      </c>
      <c r="AR4" s="19">
        <f>RTD("rtdtrading.rtdserver",, "EWZ_N_0", "VAR")/100</f>
        <v>4.0876389797253106E-3</v>
      </c>
      <c r="AS4" s="12">
        <v>3</v>
      </c>
      <c r="AT4" s="12" t="s">
        <v>156</v>
      </c>
      <c r="AU4" s="34">
        <f>RTD("rtdtrading.rtdserver",, "ALPA4_B_0", "ULT")</f>
        <v>9.57</v>
      </c>
      <c r="AV4" s="34">
        <f>RTD("rtdtrading.rtdserver",, "ALPA4_B_0", "ABE")</f>
        <v>9.51</v>
      </c>
      <c r="AW4" s="34" t="str">
        <f t="shared" si="1"/>
        <v>POSITIVO</v>
      </c>
    </row>
    <row r="5" spans="1:49" x14ac:dyDescent="0.25">
      <c r="A5" s="36"/>
      <c r="B5" s="39"/>
      <c r="C5" s="24"/>
      <c r="D5" s="12" t="s">
        <v>101</v>
      </c>
      <c r="E5" s="40">
        <f>AH36</f>
        <v>6.9382584523652946E-3</v>
      </c>
      <c r="F5" s="53"/>
      <c r="G5" s="24"/>
      <c r="H5" s="24"/>
      <c r="I5" s="24"/>
      <c r="J5" s="71" t="s">
        <v>144</v>
      </c>
      <c r="K5" s="52">
        <f>AH119</f>
        <v>-2.0000000000000009E-4</v>
      </c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13"/>
      <c r="AB5" s="6" t="s">
        <v>79</v>
      </c>
      <c r="AC5" s="16">
        <f>SUM(AC2:AC4)</f>
        <v>-189815157</v>
      </c>
      <c r="AD5" s="3"/>
      <c r="AE5" s="6" t="s">
        <v>79</v>
      </c>
      <c r="AF5" s="16">
        <f>SUM(AF2,AF3,AF4)</f>
        <v>-39740807</v>
      </c>
      <c r="AG5" s="3"/>
      <c r="AH5" s="3"/>
      <c r="AI5" s="3"/>
      <c r="AJ5" s="3"/>
      <c r="AK5" s="12" t="s">
        <v>83</v>
      </c>
      <c r="AL5" s="34">
        <f>RTD("rtdtrading.rtdserver",, "VALE3_B_0", "ULT")</f>
        <v>56.88</v>
      </c>
      <c r="AM5" s="34">
        <f>RTD("rtdtrading.rtdserver",, "VALE3_B_0", "ABE")</f>
        <v>57.74</v>
      </c>
      <c r="AN5" s="34" t="str">
        <f t="shared" si="0"/>
        <v>NEGATIVO</v>
      </c>
      <c r="AO5" s="12" t="s">
        <v>105</v>
      </c>
      <c r="AP5" s="35">
        <f>RTD("rtdtrading.rtdserver",, "BRL/MXN_O_0", "VAR")/100</f>
        <v>-7.5922233112024303E-4</v>
      </c>
      <c r="AQ5" s="3"/>
      <c r="AR5" s="3"/>
      <c r="AS5" s="12">
        <v>4</v>
      </c>
      <c r="AT5" s="12" t="s">
        <v>84</v>
      </c>
      <c r="AU5" s="34">
        <f>RTD("rtdtrading.rtdserver",, "ABEV3_B_0", "ULT")</f>
        <v>12.5</v>
      </c>
      <c r="AV5" s="34">
        <f>RTD("rtdtrading.rtdserver",, "ABEV3_B_0", "ABE")</f>
        <v>12.53</v>
      </c>
      <c r="AW5" s="34" t="str">
        <f t="shared" si="1"/>
        <v>NEGATIVO</v>
      </c>
    </row>
    <row r="6" spans="1:49" x14ac:dyDescent="0.25">
      <c r="A6" s="24"/>
      <c r="B6" s="24"/>
      <c r="C6" s="24"/>
      <c r="D6" s="12" t="s">
        <v>67</v>
      </c>
      <c r="E6" s="40">
        <f>SUM(AP2:AP12)</f>
        <v>2.5971420161815143E-2</v>
      </c>
      <c r="F6" s="53"/>
      <c r="G6" s="24"/>
      <c r="H6" s="24"/>
      <c r="I6" s="24"/>
      <c r="J6" s="36"/>
      <c r="K6" s="69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13"/>
      <c r="AB6" s="6" t="s">
        <v>133</v>
      </c>
      <c r="AC6" s="14">
        <f>SUM(AC12,AF10,AC13,AC16,AF22,AC17,AF40,AC19,AF13,AC21,AF32,AC24,AF26,AC25,AF35,AC26,AC28,AF33,AC29,AF21,AC30,AF27,AC35,AF20,AC40,AF15,AF31,AF29,AF28,AF23)</f>
        <v>257572811</v>
      </c>
      <c r="AD6" s="3"/>
      <c r="AE6" s="13" t="s">
        <v>133</v>
      </c>
      <c r="AF6" s="14">
        <f>SUM(AF40,AF35,AF33,AF32,AF31,AF29,AF28,AF27,AF26,AF25,AF23,AF22,AF21,AF20,AF15,AF13,AF10)</f>
        <v>146213011</v>
      </c>
      <c r="AG6" s="3"/>
      <c r="AH6" s="3"/>
      <c r="AI6" s="3"/>
      <c r="AJ6" s="3"/>
      <c r="AK6" s="12" t="s">
        <v>84</v>
      </c>
      <c r="AL6" s="34">
        <f>RTD("rtdtrading.rtdserver",, "ABEV3_B_0", "ULT")</f>
        <v>12.5</v>
      </c>
      <c r="AM6" s="34">
        <f>RTD("rtdtrading.rtdserver",, "ABEV3_B_0", "ABE")</f>
        <v>12.53</v>
      </c>
      <c r="AN6" s="34" t="str">
        <f t="shared" si="0"/>
        <v>NEGATIVO</v>
      </c>
      <c r="AO6" s="12" t="s">
        <v>122</v>
      </c>
      <c r="AP6" s="35">
        <f>RTD("rtdtrading.rtdserver",, "BRL/CNH_O_0", "VAR")/100</f>
        <v>4.4715141865809627E-3</v>
      </c>
      <c r="AQ6" s="3"/>
      <c r="AR6" s="3"/>
      <c r="AS6" s="12">
        <v>5</v>
      </c>
      <c r="AT6" s="12" t="s">
        <v>157</v>
      </c>
      <c r="AU6" s="34">
        <f>RTD("rtdtrading.rtdserver",, "ARZZ3_B_0", "ULT")</f>
        <v>0</v>
      </c>
      <c r="AV6" s="34">
        <f>RTD("rtdtrading.rtdserver",, "ARZZ3_B_0", "ABE")</f>
        <v>0</v>
      </c>
      <c r="AW6" s="34" t="str">
        <f t="shared" si="1"/>
        <v>NEUTRO</v>
      </c>
    </row>
    <row r="7" spans="1:49" x14ac:dyDescent="0.25">
      <c r="A7" s="55" t="s">
        <v>273</v>
      </c>
      <c r="B7" s="54" t="s">
        <v>281</v>
      </c>
      <c r="C7" s="24"/>
      <c r="D7" s="12" t="s">
        <v>13</v>
      </c>
      <c r="E7" s="40">
        <f>AP60</f>
        <v>-3.8548053848737482E-2</v>
      </c>
      <c r="F7" s="53"/>
      <c r="G7" s="62" t="s">
        <v>286</v>
      </c>
      <c r="H7" s="56" t="s">
        <v>285</v>
      </c>
      <c r="I7" s="24"/>
      <c r="J7" s="36"/>
      <c r="K7" s="70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6" t="s">
        <v>65</v>
      </c>
      <c r="AB7" s="6" t="s">
        <v>64</v>
      </c>
      <c r="AC7" s="18"/>
      <c r="AD7" s="1"/>
      <c r="AE7" s="6" t="s">
        <v>64</v>
      </c>
      <c r="AF7" s="11" t="s">
        <v>63</v>
      </c>
      <c r="AG7" s="1"/>
      <c r="AH7" s="1"/>
      <c r="AI7" s="1"/>
      <c r="AJ7" s="1"/>
      <c r="AK7" s="12" t="s">
        <v>85</v>
      </c>
      <c r="AL7" s="34">
        <f>RTD("rtdtrading.rtdserver",, "BPAC11_B_0", "ULT")</f>
        <v>48.12</v>
      </c>
      <c r="AM7" s="34">
        <f>RTD("rtdtrading.rtdserver",, "BPAC11_B_0", "ABE")</f>
        <v>47.64</v>
      </c>
      <c r="AN7" s="34" t="str">
        <f t="shared" si="0"/>
        <v>POSITIVO</v>
      </c>
      <c r="AO7" s="12" t="s">
        <v>123</v>
      </c>
      <c r="AP7" s="35">
        <f>RTD("rtdtrading.rtdserver",, "BRL/CZK_O_0", "VAR")/100</f>
        <v>-9.8950400597407214E-4</v>
      </c>
      <c r="AQ7" s="3"/>
      <c r="AR7" s="3"/>
      <c r="AS7" s="12">
        <v>6</v>
      </c>
      <c r="AT7" s="12" t="s">
        <v>158</v>
      </c>
      <c r="AU7" s="34">
        <f>RTD("rtdtrading.rtdserver",, "ASAI3_B_0", "ULT")</f>
        <v>9.33</v>
      </c>
      <c r="AV7" s="34">
        <f>RTD("rtdtrading.rtdserver",, "ASAI3_B_0", "ABE")</f>
        <v>9.25</v>
      </c>
      <c r="AW7" s="34" t="str">
        <f t="shared" si="1"/>
        <v>POSITIVO</v>
      </c>
    </row>
    <row r="8" spans="1:49" x14ac:dyDescent="0.25">
      <c r="A8" s="12" t="s">
        <v>26</v>
      </c>
      <c r="B8" s="38">
        <f>SUM(AC16+AF22)</f>
        <v>36737840</v>
      </c>
      <c r="C8" s="24"/>
      <c r="D8" s="12" t="s">
        <v>151</v>
      </c>
      <c r="E8" s="40">
        <f>AR2</f>
        <v>1.1440418319028079E-2</v>
      </c>
      <c r="F8" s="53"/>
      <c r="G8" s="12" t="s">
        <v>26</v>
      </c>
      <c r="H8" s="38">
        <f>SUM(AC121+AF121)</f>
        <v>-367918930</v>
      </c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13">
        <v>1</v>
      </c>
      <c r="AB8" s="13" t="s">
        <v>56</v>
      </c>
      <c r="AC8" s="29">
        <f>RTD("srv.rtd","","PLAYERSRANKING","INDV25","85","SALDO","VOLFWITHFACTOR")</f>
        <v>-52023100</v>
      </c>
      <c r="AD8" s="3"/>
      <c r="AE8" s="13" t="s">
        <v>30</v>
      </c>
      <c r="AF8" s="29">
        <f>RTD("srv.rtd","","PLAYERSRANKING","WINV25","3","SALDO","VOLFWITHFACTOR")</f>
        <v>-350111875</v>
      </c>
      <c r="AG8" s="6" t="s">
        <v>116</v>
      </c>
      <c r="AH8" s="1"/>
      <c r="AI8" s="5" t="s">
        <v>128</v>
      </c>
      <c r="AJ8" s="1"/>
      <c r="AK8" s="12" t="s">
        <v>86</v>
      </c>
      <c r="AL8" s="34">
        <f>RTD("rtdtrading.rtdserver",, "WEGE3_B_0", "ULT")</f>
        <v>36.479999999999997</v>
      </c>
      <c r="AM8" s="34">
        <f>RTD("rtdtrading.rtdserver",, "WEGE3_B_0", "ABE")</f>
        <v>36.49</v>
      </c>
      <c r="AN8" s="34" t="str">
        <f t="shared" si="0"/>
        <v>NEGATIVO</v>
      </c>
      <c r="AO8" s="12" t="s">
        <v>124</v>
      </c>
      <c r="AP8" s="35">
        <f>RTD("rtdtrading.rtdserver",, "BRL/CAD_O_0", "VAR")/100</f>
        <v>4.818145783545091E-3</v>
      </c>
      <c r="AQ8" s="3"/>
      <c r="AR8" s="3"/>
      <c r="AS8" s="12">
        <v>7</v>
      </c>
      <c r="AT8" s="12" t="s">
        <v>159</v>
      </c>
      <c r="AU8" s="34">
        <f>RTD("rtdtrading.rtdserver",, "AZUL4_B_0", "ULT")</f>
        <v>1.23</v>
      </c>
      <c r="AV8" s="34">
        <f>RTD("rtdtrading.rtdserver",, "AZUL4_B_0", "ABE")</f>
        <v>1.04</v>
      </c>
      <c r="AW8" s="34" t="str">
        <f t="shared" si="1"/>
        <v>POSITIVO</v>
      </c>
    </row>
    <row r="9" spans="1:49" x14ac:dyDescent="0.25">
      <c r="A9" s="12" t="s">
        <v>58</v>
      </c>
      <c r="B9" s="38">
        <f>SUM(AC42+AF43)</f>
        <v>-537434928</v>
      </c>
      <c r="C9" s="24"/>
      <c r="D9" s="12" t="s">
        <v>148</v>
      </c>
      <c r="E9" s="40">
        <f>AR4</f>
        <v>4.0876389797253106E-3</v>
      </c>
      <c r="F9" s="53"/>
      <c r="G9" s="12" t="s">
        <v>58</v>
      </c>
      <c r="H9" s="51">
        <f>SUM(AC127+AF127)</f>
        <v>-484274265</v>
      </c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13">
        <v>2</v>
      </c>
      <c r="AB9" s="13" t="s">
        <v>28</v>
      </c>
      <c r="AC9" s="29">
        <f>RTD("srv.rtd","","PLAYERSRANKING","INDV25","120","SALDO","VOLFWITHFACTOR")</f>
        <v>-12409875</v>
      </c>
      <c r="AD9" s="3"/>
      <c r="AE9" s="13" t="s">
        <v>28</v>
      </c>
      <c r="AF9" s="29">
        <f>RTD("srv.rtd","","PLAYERSRANKING","WINV25","120","SALDO","VOLFWITHFACTOR")</f>
        <v>470612624</v>
      </c>
      <c r="AG9" s="12" t="s">
        <v>0</v>
      </c>
      <c r="AH9" s="19">
        <f>RTD("rtdtrading.rtdserver",, "INDFUT_F_0", "VAR")/100</f>
        <v>4.4400423511731956E-4</v>
      </c>
      <c r="AI9" s="12" t="s">
        <v>80</v>
      </c>
      <c r="AJ9" s="19">
        <f>RTD("rtdtrading.rtdserver",, "PETR4_B_0", "VAR")/100</f>
        <v>-1.5451174289245104E-3</v>
      </c>
      <c r="AK9" s="12" t="s">
        <v>87</v>
      </c>
      <c r="AL9" s="34">
        <f>RTD("rtdtrading.rtdserver",, "BBAS3_B_0", "ULT")</f>
        <v>22.15</v>
      </c>
      <c r="AM9" s="34">
        <f>RTD("rtdtrading.rtdserver",, "BBAS3_B_0", "ABE")</f>
        <v>21.81</v>
      </c>
      <c r="AN9" s="34" t="str">
        <f t="shared" si="0"/>
        <v>POSITIVO</v>
      </c>
      <c r="AO9" s="12" t="s">
        <v>125</v>
      </c>
      <c r="AP9" s="35">
        <f>RTD("rtdtrading.rtdserver",, "BRL/INR_O_0", "VAR")/100</f>
        <v>3.8532247489007549E-3</v>
      </c>
      <c r="AQ9" s="3"/>
      <c r="AR9" s="3"/>
      <c r="AS9" s="12">
        <v>8</v>
      </c>
      <c r="AT9" s="12" t="s">
        <v>160</v>
      </c>
      <c r="AU9" s="34">
        <f>RTD("rtdtrading.rtdserver",, "B3SA3_B_0", "ULT")</f>
        <v>13.25</v>
      </c>
      <c r="AV9" s="34">
        <f>RTD("rtdtrading.rtdserver",, "B3SA3_B_0", "ABE")</f>
        <v>13.01</v>
      </c>
      <c r="AW9" s="34" t="str">
        <f t="shared" si="1"/>
        <v>POSITIVO</v>
      </c>
    </row>
    <row r="10" spans="1:49" x14ac:dyDescent="0.25">
      <c r="A10" s="12" t="s">
        <v>30</v>
      </c>
      <c r="B10" s="38">
        <f>SUM(AC10+AF8)</f>
        <v>-299703850</v>
      </c>
      <c r="C10" s="24"/>
      <c r="D10" s="54" t="s">
        <v>279</v>
      </c>
      <c r="E10" s="59" t="s">
        <v>110</v>
      </c>
      <c r="F10" s="53"/>
      <c r="G10" s="12" t="s">
        <v>30</v>
      </c>
      <c r="H10" s="51">
        <f>SUM(AC99+AF99)</f>
        <v>-971639605</v>
      </c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13">
        <v>3</v>
      </c>
      <c r="AB10" s="13" t="s">
        <v>30</v>
      </c>
      <c r="AC10" s="29">
        <f>RTD("srv.rtd","","PLAYERSRANKING","INDV25","3","SALDO","VOLFWITHFACTOR")</f>
        <v>50408025</v>
      </c>
      <c r="AD10" s="17"/>
      <c r="AE10" s="13" t="s">
        <v>54</v>
      </c>
      <c r="AF10" s="29">
        <f>RTD("srv.rtd","","PLAYERSRANKING","WINV25","746","SALDO","VOLFWITHFACTOR")</f>
        <v>97316103</v>
      </c>
      <c r="AG10" s="12" t="s">
        <v>15</v>
      </c>
      <c r="AH10" s="19">
        <f>RTD("rtdtrading.rtdserver",, "WINFUT_F_0", "VAR")/100</f>
        <v>4.0982206891841124E-4</v>
      </c>
      <c r="AI10" s="12" t="s">
        <v>81</v>
      </c>
      <c r="AJ10" s="19">
        <f>RTD("rtdtrading.rtdserver",, "PETR3_B_0", "VAR")/100</f>
        <v>-5.3977272727274098E-3</v>
      </c>
      <c r="AK10" s="12" t="s">
        <v>88</v>
      </c>
      <c r="AL10" s="34">
        <f>RTD("rtdtrading.rtdserver",, "BBDC3_B_0", "ULT")</f>
        <v>15.14</v>
      </c>
      <c r="AM10" s="34">
        <f>RTD("rtdtrading.rtdserver",, "BBDC3_B_0", "ABE")</f>
        <v>15.09</v>
      </c>
      <c r="AN10" s="34" t="str">
        <f t="shared" si="0"/>
        <v>POSITIVO</v>
      </c>
      <c r="AO10" s="12" t="s">
        <v>126</v>
      </c>
      <c r="AP10" s="35">
        <f>RTD("rtdtrading.rtdserver",, "BRL/CHF_O_0", "VAR")/100</f>
        <v>2.1591754900053572E-3</v>
      </c>
      <c r="AQ10" s="3"/>
      <c r="AR10" s="3"/>
      <c r="AS10" s="12">
        <v>9</v>
      </c>
      <c r="AT10" s="12" t="s">
        <v>161</v>
      </c>
      <c r="AU10" s="34">
        <f>RTD("rtdtrading.rtdserver",, "BBSE3_B_0", "ULT")</f>
        <v>32.47</v>
      </c>
      <c r="AV10" s="34">
        <f>RTD("rtdtrading.rtdserver",, "BBSE3_B_0", "ABE")</f>
        <v>32.79</v>
      </c>
      <c r="AW10" s="34" t="str">
        <f t="shared" si="1"/>
        <v>NEGATIVO</v>
      </c>
    </row>
    <row r="11" spans="1:49" x14ac:dyDescent="0.25">
      <c r="A11" s="24"/>
      <c r="B11" s="24"/>
      <c r="C11" s="24"/>
      <c r="D11" s="12" t="s">
        <v>230</v>
      </c>
      <c r="E11" s="41">
        <f>COUNTIF(AN2:AN11,"POSITIVO")</f>
        <v>4</v>
      </c>
      <c r="F11" s="53"/>
      <c r="G11" s="24"/>
      <c r="H11" s="24"/>
      <c r="I11" s="24"/>
      <c r="J11" s="54" t="s">
        <v>311</v>
      </c>
      <c r="K11" s="54" t="s">
        <v>310</v>
      </c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13">
        <v>4</v>
      </c>
      <c r="AB11" s="13" t="s">
        <v>62</v>
      </c>
      <c r="AC11" s="29">
        <f>RTD("srv.rtd","","PLAYERSRANKING","INDV25","16","SALDO","VOLFWITHFACTOR")</f>
        <v>-27795775</v>
      </c>
      <c r="AD11" s="17"/>
      <c r="AE11" s="13" t="s">
        <v>61</v>
      </c>
      <c r="AF11" s="29">
        <f>RTD("srv.rtd","","PLAYERSRANKING","WINV25","238","SALDO","VOLFWITHFACTOR")</f>
        <v>121688599</v>
      </c>
      <c r="AG11" s="3"/>
      <c r="AH11" s="19">
        <f>SUM(AH9,AH10)</f>
        <v>8.5382630403573086E-4</v>
      </c>
      <c r="AI11" s="12" t="s">
        <v>82</v>
      </c>
      <c r="AJ11" s="19">
        <f>RTD("rtdtrading.rtdserver",, "ITUB4_B_0", "VAR")/100</f>
        <v>6.4968814968813116E-3</v>
      </c>
      <c r="AK11" s="12" t="s">
        <v>89</v>
      </c>
      <c r="AL11" s="34">
        <f>RTD("rtdtrading.rtdserver",, "ELET3_B_0", "ULT")</f>
        <v>50.51</v>
      </c>
      <c r="AM11" s="34">
        <f>RTD("rtdtrading.rtdserver",, "ELET3_B_0", "ABE")</f>
        <v>50.65</v>
      </c>
      <c r="AN11" s="34" t="str">
        <f t="shared" si="0"/>
        <v>NEGATIVO</v>
      </c>
      <c r="AO11" s="12" t="s">
        <v>266</v>
      </c>
      <c r="AP11" s="35">
        <f>RTD("rtdtrading.rtdserver",, "BRL/AUD_O_0", "VAR")/100</f>
        <v>3.4237084796418325E-3</v>
      </c>
      <c r="AQ11" s="3"/>
      <c r="AR11" s="3"/>
      <c r="AS11" s="12">
        <v>10</v>
      </c>
      <c r="AT11" s="12" t="s">
        <v>88</v>
      </c>
      <c r="AU11" s="34">
        <f>RTD("rtdtrading.rtdserver",, "BBDC3_B_0", "ULT")</f>
        <v>15.14</v>
      </c>
      <c r="AV11" s="34">
        <f>RTD("rtdtrading.rtdserver",, "BBDC3_B_0", "ABE")</f>
        <v>15.09</v>
      </c>
      <c r="AW11" s="34" t="str">
        <f>IF(AU11&gt;AV11,"POSITIVO",IF(AU11&lt;AV11,"NEGATIVO",IF(AU11=AV11,"NEUTRO")))</f>
        <v>POSITIVO</v>
      </c>
    </row>
    <row r="12" spans="1:49" x14ac:dyDescent="0.25">
      <c r="A12" s="24"/>
      <c r="B12" s="24"/>
      <c r="C12" s="24"/>
      <c r="D12" s="12" t="s">
        <v>231</v>
      </c>
      <c r="E12" s="42">
        <f>COUNTIF(AN2:AN11,"NEGATIVO")</f>
        <v>6</v>
      </c>
      <c r="F12" s="53"/>
      <c r="G12" s="24"/>
      <c r="H12" s="24"/>
      <c r="I12" s="24"/>
      <c r="J12" s="12" t="s">
        <v>230</v>
      </c>
      <c r="K12" s="41">
        <f>COUNTIF(AQ17:AQ59,"POSITIVO")</f>
        <v>8</v>
      </c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13">
        <v>5</v>
      </c>
      <c r="AB12" s="13" t="s">
        <v>54</v>
      </c>
      <c r="AC12" s="29">
        <f>RTD("srv.rtd","","PLAYERSRANKING","INDV25","746","SALDO","VOLFWITHFACTOR")</f>
        <v>73171550</v>
      </c>
      <c r="AD12" s="17"/>
      <c r="AE12" s="13" t="s">
        <v>29</v>
      </c>
      <c r="AF12" s="29">
        <f>RTD("srv.rtd","","PLAYERSRANKING","WINV25","122","SALDO","VOLFWITHFACTOR")</f>
        <v>64587633</v>
      </c>
      <c r="AG12" s="6" t="s">
        <v>117</v>
      </c>
      <c r="AH12" s="5"/>
      <c r="AI12" s="12" t="s">
        <v>83</v>
      </c>
      <c r="AJ12" s="19">
        <f>RTD("rtdtrading.rtdserver",, "VALE3_B_0", "VAR")/100</f>
        <v>-2.2848307850884698E-2</v>
      </c>
      <c r="AK12" s="5" t="s">
        <v>98</v>
      </c>
      <c r="AL12" s="5" t="s">
        <v>268</v>
      </c>
      <c r="AM12" s="5" t="s">
        <v>269</v>
      </c>
      <c r="AN12" s="5"/>
      <c r="AO12" s="12" t="s">
        <v>267</v>
      </c>
      <c r="AP12" s="35">
        <f>RTD("rtdtrading.rtdserver",, "BRL/GBP_O_0", "VAR")/100</f>
        <v>-2.217992931042117E-4</v>
      </c>
      <c r="AQ12" s="3"/>
      <c r="AR12" s="3"/>
      <c r="AS12" s="12">
        <v>11</v>
      </c>
      <c r="AT12" s="12" t="s">
        <v>162</v>
      </c>
      <c r="AU12" s="34">
        <f>RTD("rtdtrading.rtdserver",, "BBDC4_B_0", "ULT")</f>
        <v>17.649999999999999</v>
      </c>
      <c r="AV12" s="34">
        <f>RTD("rtdtrading.rtdserver",, "BBDC4_B_0", "ABE")</f>
        <v>17.55</v>
      </c>
      <c r="AW12" s="34" t="str">
        <f t="shared" si="1"/>
        <v>POSITIVO</v>
      </c>
    </row>
    <row r="13" spans="1:49" ht="15.75" x14ac:dyDescent="0.25">
      <c r="A13" s="62" t="s">
        <v>288</v>
      </c>
      <c r="B13" s="64" t="s">
        <v>316</v>
      </c>
      <c r="C13" s="24"/>
      <c r="D13" s="24"/>
      <c r="E13" s="24"/>
      <c r="F13" s="53"/>
      <c r="G13" s="57" t="s">
        <v>74</v>
      </c>
      <c r="H13" s="57" t="s">
        <v>73</v>
      </c>
      <c r="I13" s="24"/>
      <c r="J13" s="12" t="s">
        <v>231</v>
      </c>
      <c r="K13" s="42">
        <f>COUNTIF(AQ17:AQ59,"NEGATIVO")</f>
        <v>29</v>
      </c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13">
        <v>6</v>
      </c>
      <c r="AB13" s="13" t="s">
        <v>37</v>
      </c>
      <c r="AC13" s="29">
        <f>RTD("srv.rtd","","PLAYERSRANKING","INDV25","23","SALDO","VOLFWITHFACTOR")</f>
        <v>-21214600</v>
      </c>
      <c r="AD13" s="17"/>
      <c r="AE13" s="13" t="s">
        <v>25</v>
      </c>
      <c r="AF13" s="29" t="str">
        <f>RTD("srv.rtd","","PLAYERSRANKING","WINV25","15","SALDO","VOLFWITHFACTOR")</f>
        <v>0</v>
      </c>
      <c r="AG13" s="12" t="s">
        <v>71</v>
      </c>
      <c r="AH13" s="19">
        <f>RTD("rtdtrading.rtdserver",, "DOLFUT_F_0", "VAR")/100</f>
        <v>-5.4934823091247675E-3</v>
      </c>
      <c r="AI13" s="12" t="s">
        <v>84</v>
      </c>
      <c r="AJ13" s="19">
        <f>RTD("rtdtrading.rtdserver",, "ABEV3_B_0", "VAR")/100</f>
        <v>3.2102728731941534E-3</v>
      </c>
      <c r="AK13" s="12" t="s">
        <v>92</v>
      </c>
      <c r="AL13" s="34">
        <f>RTD("rtdtrading.rtdserver",, "VALE_Y_0", "ULT")</f>
        <v>10.67</v>
      </c>
      <c r="AM13" s="34">
        <f>RTD("rtdtrading.rtdserver",, "VALE_Y_0", "ABE")</f>
        <v>10.8</v>
      </c>
      <c r="AN13" s="34" t="str">
        <f>IF(AL13&gt;AM13,"POSITIVO",IF(AL13&lt;AM13,"NEGATIVO",IF(AL13=AM13,"NEUTRO")))</f>
        <v>NEGATIVO</v>
      </c>
      <c r="AO13" s="5" t="s">
        <v>272</v>
      </c>
      <c r="AP13" s="5" t="s">
        <v>271</v>
      </c>
      <c r="AQ13" s="3"/>
      <c r="AR13" s="3"/>
      <c r="AS13" s="12">
        <v>12</v>
      </c>
      <c r="AT13" s="12" t="s">
        <v>163</v>
      </c>
      <c r="AU13" s="34">
        <f>RTD("rtdtrading.rtdserver",, "BRAP4_B_0", "ULT")</f>
        <v>16.8</v>
      </c>
      <c r="AV13" s="34">
        <f>RTD("rtdtrading.rtdserver",, "BRAP4_B_0", "ABE")</f>
        <v>17.09</v>
      </c>
      <c r="AW13" s="34" t="str">
        <f t="shared" si="1"/>
        <v>NEGATIVO</v>
      </c>
    </row>
    <row r="14" spans="1:49" ht="15.75" x14ac:dyDescent="0.25">
      <c r="A14" s="12" t="s">
        <v>288</v>
      </c>
      <c r="B14" s="40" t="str">
        <f>RTD("rtdtrading.rtdserver",, "WINFUT_F_0", "100")</f>
        <v>78.294</v>
      </c>
      <c r="C14" s="24"/>
      <c r="D14" s="24"/>
      <c r="E14" s="24"/>
      <c r="F14" s="53"/>
      <c r="G14" s="27" t="s">
        <v>153</v>
      </c>
      <c r="H14" s="25">
        <f>RTD("srv.rtd","","SQT","DOLINDEX-CFD","VAR")/100</f>
        <v>-3.2503809040123101E-3</v>
      </c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13">
        <v>7</v>
      </c>
      <c r="AB14" s="13" t="s">
        <v>34</v>
      </c>
      <c r="AC14" s="29">
        <f>RTD("srv.rtd","","PLAYERSRANKING","INDV25","93","SALDO","VOLFWITHFACTOR")</f>
        <v>-8058500</v>
      </c>
      <c r="AD14" s="17"/>
      <c r="AE14" s="13" t="s">
        <v>57</v>
      </c>
      <c r="AF14" s="29">
        <f>RTD("srv.rtd","","PLAYERSRANKING","WINV25","13","SALDO","VOLFWITHFACTOR")</f>
        <v>56724959</v>
      </c>
      <c r="AG14" s="12" t="s">
        <v>72</v>
      </c>
      <c r="AH14" s="19">
        <f>RTD("rtdtrading.rtdserver",, "WDOFUT_F_0", "VAR")/100</f>
        <v>-5.4013782827342146E-3</v>
      </c>
      <c r="AI14" s="12" t="s">
        <v>85</v>
      </c>
      <c r="AJ14" s="19">
        <f>RTD("rtdtrading.rtdserver",, "BPAC11_B_0", "VAR")/100</f>
        <v>1.6261879619852079E-2</v>
      </c>
      <c r="AK14" s="12" t="s">
        <v>93</v>
      </c>
      <c r="AL14" s="34">
        <f>RTD("rtdtrading.rtdserver",, "PBR_Y_0", "ULT")</f>
        <v>13.1</v>
      </c>
      <c r="AM14" s="34">
        <f>RTD("rtdtrading.rtdserver",, "PBR_Y_0", "ABE")</f>
        <v>13.2</v>
      </c>
      <c r="AN14" s="34" t="str">
        <f t="shared" ref="AN14:AN18" si="2">IF(AL14&gt;AM14,"POSITIVO",IF(AL14&lt;AM14,"NEGATIVO",IF(AL14=AM14,"NEUTRO")))</f>
        <v>NEGATIVO</v>
      </c>
      <c r="AO14" s="12" t="s">
        <v>15</v>
      </c>
      <c r="AP14" s="34" t="str">
        <f>RTD("rtdtrading.rtdserver",, "WINFUT_F_0", "100")</f>
        <v>78.294</v>
      </c>
      <c r="AQ14" s="3"/>
      <c r="AR14" s="3"/>
      <c r="AS14" s="12">
        <v>13</v>
      </c>
      <c r="AT14" s="12" t="s">
        <v>87</v>
      </c>
      <c r="AU14" s="34">
        <f>RTD("rtdtrading.rtdserver",, "BBAS3_B_0", "ULT")</f>
        <v>22.15</v>
      </c>
      <c r="AV14" s="34">
        <f>RTD("rtdtrading.rtdserver",, "BBAS3_B_0", "ABE")</f>
        <v>21.81</v>
      </c>
      <c r="AW14" s="34" t="str">
        <f t="shared" si="1"/>
        <v>POSITIVO</v>
      </c>
    </row>
    <row r="15" spans="1:49" x14ac:dyDescent="0.25">
      <c r="A15" s="12" t="s">
        <v>289</v>
      </c>
      <c r="B15" s="40" t="str">
        <f>RTD("rtdtrading.rtdserver",, "INDFUT_F_0", "100")</f>
        <v>-605</v>
      </c>
      <c r="C15" s="24"/>
      <c r="D15" s="56" t="s">
        <v>278</v>
      </c>
      <c r="E15" s="59" t="s">
        <v>110</v>
      </c>
      <c r="F15" s="53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63"/>
      <c r="R15" s="24"/>
      <c r="S15" s="24"/>
      <c r="T15" s="24"/>
      <c r="U15" s="24"/>
      <c r="V15" s="24"/>
      <c r="W15" s="24"/>
      <c r="X15" s="24"/>
      <c r="Y15" s="24"/>
      <c r="Z15" s="24"/>
      <c r="AA15" s="13">
        <v>8</v>
      </c>
      <c r="AB15" s="13" t="s">
        <v>44</v>
      </c>
      <c r="AC15" s="29" t="str">
        <f>RTD("srv.rtd","","PLAYERSRANKING","INDV25","45","SALDO","VOLFWITHFACTOR")</f>
        <v>0</v>
      </c>
      <c r="AD15" s="17"/>
      <c r="AE15" s="13" t="s">
        <v>33</v>
      </c>
      <c r="AF15" s="29">
        <f>RTD("srv.rtd","","PLAYERSRANKING","WINV25","147","SALDO","VOLFWITHFACTOR")</f>
        <v>-103962433</v>
      </c>
      <c r="AG15" s="3"/>
      <c r="AH15" s="19">
        <f>SUM(AH13,AH14)</f>
        <v>-1.0894860591858981E-2</v>
      </c>
      <c r="AI15" s="12" t="s">
        <v>86</v>
      </c>
      <c r="AJ15" s="19">
        <f>RTD("rtdtrading.rtdserver",, "WEGE3_B_0", "VAR")/100</f>
        <v>3.5763411279228457E-3</v>
      </c>
      <c r="AK15" s="12" t="s">
        <v>94</v>
      </c>
      <c r="AL15" s="34">
        <f>RTD("rtdtrading.rtdserver",, "ITUB_Y_0", "ULT")</f>
        <v>7.26</v>
      </c>
      <c r="AM15" s="34">
        <f>RTD("rtdtrading.rtdserver",, "ITUB_Y_0", "ABE")</f>
        <v>7.27</v>
      </c>
      <c r="AN15" s="34" t="str">
        <f t="shared" si="2"/>
        <v>NEGATIVO</v>
      </c>
      <c r="AO15" s="12" t="s">
        <v>0</v>
      </c>
      <c r="AP15" s="34" t="str">
        <f>RTD("rtdtrading.rtdserver",, "INDFUT_F_0", "100")</f>
        <v>-605</v>
      </c>
      <c r="AQ15" s="3"/>
      <c r="AR15" s="3"/>
      <c r="AS15" s="12">
        <v>14</v>
      </c>
      <c r="AT15" s="12" t="s">
        <v>164</v>
      </c>
      <c r="AU15" s="34">
        <f>RTD("rtdtrading.rtdserver",, "BRKM5_B_0", "ULT")</f>
        <v>7.15</v>
      </c>
      <c r="AV15" s="34">
        <f>RTD("rtdtrading.rtdserver",, "BRKM5_B_0", "ABE")</f>
        <v>7.97</v>
      </c>
      <c r="AW15" s="34" t="str">
        <f t="shared" si="1"/>
        <v>NEGATIVO</v>
      </c>
    </row>
    <row r="16" spans="1:49" x14ac:dyDescent="0.25">
      <c r="A16" s="24"/>
      <c r="B16" s="24"/>
      <c r="C16" s="24"/>
      <c r="D16" s="12" t="s">
        <v>230</v>
      </c>
      <c r="E16" s="41">
        <f>COUNTIF(AW2:AW87,"POSITIVO")</f>
        <v>36</v>
      </c>
      <c r="F16" s="53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13">
        <v>9</v>
      </c>
      <c r="AB16" s="13" t="s">
        <v>52</v>
      </c>
      <c r="AC16" s="29">
        <f>RTD("srv.rtd","","PLAYERSRANKING","INDV25","39","SALDO","VOLFWITHFACTOR")</f>
        <v>97396250</v>
      </c>
      <c r="AD16" s="17"/>
      <c r="AE16" s="13" t="s">
        <v>53</v>
      </c>
      <c r="AF16" s="29" t="str">
        <f>RTD("srv.rtd","","PLAYERSRANKING","WINV25","735","SALDO","VOLFWITHFACTOR")</f>
        <v>0</v>
      </c>
      <c r="AG16" s="6" t="s">
        <v>118</v>
      </c>
      <c r="AH16" s="5"/>
      <c r="AI16" s="12" t="s">
        <v>87</v>
      </c>
      <c r="AJ16" s="19">
        <f>RTD("rtdtrading.rtdserver",, "BBAS3_B_0", "VAR")/100</f>
        <v>1.6521340064249466E-2</v>
      </c>
      <c r="AK16" s="12" t="s">
        <v>95</v>
      </c>
      <c r="AL16" s="34">
        <f>RTD("rtdtrading.rtdserver",, "BBD_Y_0", "ULT")</f>
        <v>3.3</v>
      </c>
      <c r="AM16" s="34">
        <f>RTD("rtdtrading.rtdserver",, "BBD_Y_0", "ABE")</f>
        <v>3.3</v>
      </c>
      <c r="AN16" s="34" t="str">
        <f t="shared" si="2"/>
        <v>NEUTRO</v>
      </c>
      <c r="AO16" s="6" t="s">
        <v>277</v>
      </c>
      <c r="AP16" s="5" t="s">
        <v>276</v>
      </c>
      <c r="AQ16" s="3"/>
      <c r="AR16" s="3"/>
      <c r="AS16" s="12">
        <v>15</v>
      </c>
      <c r="AT16" s="12" t="s">
        <v>165</v>
      </c>
      <c r="AU16" s="34">
        <f>RTD("rtdtrading.rtdserver",, "BRFS3_B_0", "ULT")</f>
        <v>17.95</v>
      </c>
      <c r="AV16" s="34">
        <f>RTD("rtdtrading.rtdserver",, "BRFS3_B_0", "ABE")</f>
        <v>18.75</v>
      </c>
      <c r="AW16" s="34" t="str">
        <f t="shared" si="1"/>
        <v>NEGATIVO</v>
      </c>
    </row>
    <row r="17" spans="1:49" x14ac:dyDescent="0.25">
      <c r="A17" s="62" t="s">
        <v>315</v>
      </c>
      <c r="B17" s="58" t="s">
        <v>74</v>
      </c>
      <c r="C17" s="24"/>
      <c r="D17" s="12" t="s">
        <v>231</v>
      </c>
      <c r="E17" s="42">
        <f>COUNTIF(AW2:AW87,"NEGATIVO")</f>
        <v>41</v>
      </c>
      <c r="F17" s="53"/>
      <c r="G17" s="61" t="s">
        <v>313</v>
      </c>
      <c r="H17" s="60" t="s">
        <v>73</v>
      </c>
      <c r="I17" s="24"/>
      <c r="J17" s="62" t="s">
        <v>321</v>
      </c>
      <c r="K17" s="54" t="s">
        <v>71</v>
      </c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13">
        <v>10</v>
      </c>
      <c r="AB17" s="13" t="s">
        <v>60</v>
      </c>
      <c r="AC17" s="29">
        <f>RTD("srv.rtd","","PLAYERSRANKING","INDV25","1618","SALDO","VOLFWITHFACTOR")</f>
        <v>-49117150</v>
      </c>
      <c r="AD17" s="17"/>
      <c r="AE17" s="13" t="s">
        <v>31</v>
      </c>
      <c r="AF17" s="29" t="str">
        <f>RTD("srv.rtd","","PLAYERSRANKING","WINV25","308","SALDO","VOLFWITHFACTOR")</f>
        <v>0</v>
      </c>
      <c r="AG17" s="12" t="s">
        <v>1</v>
      </c>
      <c r="AH17" s="19">
        <f>RTD("rtdtrading.rtdserver",, "DI1F24_F_0", "VAR")/100</f>
        <v>0</v>
      </c>
      <c r="AI17" s="12" t="s">
        <v>88</v>
      </c>
      <c r="AJ17" s="19">
        <f>RTD("rtdtrading.rtdserver",, "BBDC3_B_0", "VAR")/100</f>
        <v>8.6608927381744832E-3</v>
      </c>
      <c r="AK17" s="12" t="s">
        <v>96</v>
      </c>
      <c r="AL17" s="34">
        <f>RTD("rtdtrading.rtdserver",, "ABEV_Y_0", "ULT")</f>
        <v>2.31</v>
      </c>
      <c r="AM17" s="34">
        <f>RTD("rtdtrading.rtdserver",, "ABEV_Y_0", "ABE")</f>
        <v>2.2999999999999998</v>
      </c>
      <c r="AN17" s="34" t="str">
        <f t="shared" si="2"/>
        <v>POSITIVO</v>
      </c>
      <c r="AO17" s="13" t="s">
        <v>4</v>
      </c>
      <c r="AP17" s="19">
        <f>RTD("rtdtrading.rtdserver",, "DI1F27_F_0", "VAR")/100</f>
        <v>-3.1982942430703572E-3</v>
      </c>
      <c r="AQ17" s="3" t="str">
        <f>IF(AP17&gt;0,"POSITIVO",IF(AP17&lt;0,"NEGATIVO",IF(AP17=0,"NEUTRO")))</f>
        <v>NEGATIVO</v>
      </c>
      <c r="AR17" s="3"/>
      <c r="AS17" s="12">
        <v>16</v>
      </c>
      <c r="AT17" s="12" t="s">
        <v>85</v>
      </c>
      <c r="AU17" s="34">
        <f>RTD("rtdtrading.rtdserver",, "BPAC11_B_0", "ULT")</f>
        <v>48.12</v>
      </c>
      <c r="AV17" s="34">
        <f>RTD("rtdtrading.rtdserver",, "BPAC11_B_0", "ABE")</f>
        <v>47.64</v>
      </c>
      <c r="AW17" s="34" t="str">
        <f t="shared" si="1"/>
        <v>POSITIVO</v>
      </c>
    </row>
    <row r="18" spans="1:49" x14ac:dyDescent="0.25">
      <c r="A18" s="12" t="s">
        <v>0</v>
      </c>
      <c r="B18" s="32">
        <f>RTD("rtdtrading.rtdserver",, "INDFUT_F_0", "VAR")/100</f>
        <v>4.4400423511731956E-4</v>
      </c>
      <c r="C18" s="24"/>
      <c r="D18" s="24"/>
      <c r="E18" s="24"/>
      <c r="F18" s="53"/>
      <c r="G18" s="12" t="s">
        <v>71</v>
      </c>
      <c r="H18" s="32">
        <f>RTD("rtdtrading.rtdserver",, "DOLFUT_F_0", "VAR")/100</f>
        <v>-5.4934823091247675E-3</v>
      </c>
      <c r="I18" s="24"/>
      <c r="J18" s="72" t="s">
        <v>72</v>
      </c>
      <c r="K18" s="73" t="str">
        <f>RTD("rtdtrading.rtdserver",, "WDOFUT_F_0", "100")</f>
        <v>-63.851</v>
      </c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13">
        <v>11</v>
      </c>
      <c r="AB18" s="13" t="s">
        <v>27</v>
      </c>
      <c r="AC18" s="29">
        <f>RTD("srv.rtd","","PLAYERSRANKING","INDV25","4090","SALDO","VOLFWITHFACTOR")</f>
        <v>-737975</v>
      </c>
      <c r="AD18" s="17"/>
      <c r="AE18" s="13" t="s">
        <v>27</v>
      </c>
      <c r="AF18" s="29">
        <f>RTD("srv.rtd","","PLAYERSRANKING","WINV25","4090","SALDO","VOLFWITHFACTOR")</f>
        <v>7722659</v>
      </c>
      <c r="AG18" s="12" t="s">
        <v>2</v>
      </c>
      <c r="AH18" s="19">
        <f>RTD("rtdtrading.rtdserver",, "DI1F25_F_0", "VAR")/100</f>
        <v>0</v>
      </c>
      <c r="AI18" s="12" t="s">
        <v>89</v>
      </c>
      <c r="AJ18" s="19">
        <f>RTD("rtdtrading.rtdserver",, "ELET3_B_0", "VAR")/100</f>
        <v>2.1825396825395299E-3</v>
      </c>
      <c r="AK18" s="12" t="s">
        <v>97</v>
      </c>
      <c r="AL18" s="34">
        <f>RTD("rtdtrading.rtdserver",, "GGB_Y_0", "ULT")</f>
        <v>3.09</v>
      </c>
      <c r="AM18" s="34">
        <f>RTD("rtdtrading.rtdserver",, "GGB_Y_0", "ABE")</f>
        <v>3.06</v>
      </c>
      <c r="AN18" s="34" t="str">
        <f t="shared" si="2"/>
        <v>POSITIVO</v>
      </c>
      <c r="AO18" s="13" t="s">
        <v>5</v>
      </c>
      <c r="AP18" s="19">
        <f>RTD("rtdtrading.rtdserver",, "DI1F28_F_0", "VAR")/100</f>
        <v>-2.618780396558185E-3</v>
      </c>
      <c r="AQ18" s="3" t="str">
        <f t="shared" ref="AQ18:AQ59" si="3">IF(AP18&gt;0,"POSITIVO",IF(AP18&lt;0,"NEGATIVO",IF(AP18=0,"NEUTRO")))</f>
        <v>NEGATIVO</v>
      </c>
      <c r="AR18" s="3"/>
      <c r="AS18" s="12">
        <v>17</v>
      </c>
      <c r="AT18" s="12" t="s">
        <v>166</v>
      </c>
      <c r="AU18" s="34">
        <f>RTD("rtdtrading.rtdserver",, "CRFB3_B_0", "ULT")</f>
        <v>0</v>
      </c>
      <c r="AV18" s="34">
        <f>RTD("rtdtrading.rtdserver",, "CRFB3_B_0", "ABE")</f>
        <v>0</v>
      </c>
      <c r="AW18" s="34" t="str">
        <f t="shared" si="1"/>
        <v>NEUTRO</v>
      </c>
    </row>
    <row r="19" spans="1:49" x14ac:dyDescent="0.25">
      <c r="A19" s="12" t="s">
        <v>15</v>
      </c>
      <c r="B19" s="32">
        <f>RTD("rtdtrading.rtdserver",, "WINFUT_F_0", "VAR")/100</f>
        <v>4.0982206891841124E-4</v>
      </c>
      <c r="C19" s="24"/>
      <c r="D19" s="24"/>
      <c r="E19" s="24"/>
      <c r="F19" s="53"/>
      <c r="G19" s="12" t="s">
        <v>72</v>
      </c>
      <c r="H19" s="32">
        <f>RTD("rtdtrading.rtdserver",, "WDOFUT_F_0", "VAR")/100</f>
        <v>-5.4013782827342146E-3</v>
      </c>
      <c r="I19" s="24"/>
      <c r="J19" s="12" t="s">
        <v>71</v>
      </c>
      <c r="K19" s="73" t="str">
        <f>RTD("rtdtrading.rtdserver",, "DOLFUT_F_0", "100")</f>
        <v>-2.480</v>
      </c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13">
        <v>12</v>
      </c>
      <c r="AB19" s="13" t="s">
        <v>25</v>
      </c>
      <c r="AC19" s="29" t="str">
        <f>RTD("srv.rtd","","PLAYERSRANKING","INDV25","15","SALDO","VOLFWITHFACTOR")</f>
        <v>0</v>
      </c>
      <c r="AD19" s="17"/>
      <c r="AE19" s="13" t="s">
        <v>39</v>
      </c>
      <c r="AF19" s="29">
        <f>RTD("srv.rtd","","PLAYERSRANKING","WINV25","27","SALDO","VOLFWITHFACTOR")</f>
        <v>-4904595</v>
      </c>
      <c r="AG19" s="12" t="s">
        <v>3</v>
      </c>
      <c r="AH19" s="19">
        <f>RTD("rtdtrading.rtdserver",, "DI1F26_F_0", "VAR")/100</f>
        <v>-1.1925859948977847E-16</v>
      </c>
      <c r="AI19" s="3"/>
      <c r="AJ19" s="19">
        <f>SUM(AJ9:AJ18)</f>
        <v>2.7118995050277251E-2</v>
      </c>
      <c r="AK19" s="3"/>
      <c r="AL19" s="3"/>
      <c r="AM19" s="3"/>
      <c r="AN19" s="3"/>
      <c r="AO19" s="13" t="s">
        <v>6</v>
      </c>
      <c r="AP19" s="19">
        <f>RTD("rtdtrading.rtdserver",, "DI1F29_F_0", "VAR")/100</f>
        <v>-1.5094339622642526E-3</v>
      </c>
      <c r="AQ19" s="3" t="str">
        <f t="shared" si="3"/>
        <v>NEGATIVO</v>
      </c>
      <c r="AR19" s="3"/>
      <c r="AS19" s="12">
        <v>18</v>
      </c>
      <c r="AT19" s="12" t="s">
        <v>167</v>
      </c>
      <c r="AU19" s="34">
        <f>RTD("rtdtrading.rtdserver",, "CCRO3_B_0", "ULT")</f>
        <v>0</v>
      </c>
      <c r="AV19" s="34">
        <f>RTD("rtdtrading.rtdserver",, "CCRO3_B_0", "ABE")</f>
        <v>0</v>
      </c>
      <c r="AW19" s="34" t="str">
        <f t="shared" si="1"/>
        <v>NEUTRO</v>
      </c>
    </row>
    <row r="20" spans="1:49" x14ac:dyDescent="0.25">
      <c r="A20" s="24"/>
      <c r="B20" s="24"/>
      <c r="C20" s="24"/>
      <c r="D20" s="54" t="s">
        <v>98</v>
      </c>
      <c r="E20" s="59" t="s">
        <v>110</v>
      </c>
      <c r="F20" s="53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13">
        <v>13</v>
      </c>
      <c r="AB20" s="13" t="s">
        <v>55</v>
      </c>
      <c r="AC20" s="29">
        <f>RTD("srv.rtd","","PLAYERSRANKING","INDV25","88","SALDO","VOLFWITHFACTOR")</f>
        <v>1461450</v>
      </c>
      <c r="AD20" s="17"/>
      <c r="AE20" s="13" t="s">
        <v>47</v>
      </c>
      <c r="AF20" s="29">
        <f>RTD("srv.rtd","","PLAYERSRANKING","WINV25","92","SALDO","VOLFWITHFACTOR")</f>
        <v>68028797</v>
      </c>
      <c r="AG20" s="12" t="s">
        <v>4</v>
      </c>
      <c r="AH20" s="19">
        <f>RTD("rtdtrading.rtdserver",, "DI1F27_F_0", "VAR")/100</f>
        <v>-3.1982942430703572E-3</v>
      </c>
      <c r="AI20" s="5" t="s">
        <v>129</v>
      </c>
      <c r="AJ20" s="1"/>
      <c r="AK20" s="3"/>
      <c r="AL20" s="3"/>
      <c r="AM20" s="3"/>
      <c r="AN20" s="3"/>
      <c r="AO20" s="13" t="s">
        <v>7</v>
      </c>
      <c r="AP20" s="19">
        <f>RTD("rtdtrading.rtdserver",, "DI1F30_F_0", "VAR")/100</f>
        <v>-1.1240164855751643E-3</v>
      </c>
      <c r="AQ20" s="3" t="str">
        <f t="shared" si="3"/>
        <v>NEGATIVO</v>
      </c>
      <c r="AR20" s="3"/>
      <c r="AS20" s="12">
        <v>19</v>
      </c>
      <c r="AT20" s="12" t="s">
        <v>168</v>
      </c>
      <c r="AU20" s="34">
        <f>RTD("rtdtrading.rtdserver",, "CMIG4_B_0", "ULT")</f>
        <v>11.24</v>
      </c>
      <c r="AV20" s="34">
        <f>RTD("rtdtrading.rtdserver",, "CMIG4_B_0", "ABE")</f>
        <v>11.23</v>
      </c>
      <c r="AW20" s="34" t="str">
        <f t="shared" si="1"/>
        <v>POSITIVO</v>
      </c>
    </row>
    <row r="21" spans="1:49" x14ac:dyDescent="0.25">
      <c r="A21" s="24"/>
      <c r="B21" s="24"/>
      <c r="C21" s="24"/>
      <c r="D21" s="12" t="s">
        <v>230</v>
      </c>
      <c r="E21" s="41">
        <f>COUNTIF(AN13:AN18,"POSITIVO")</f>
        <v>2</v>
      </c>
      <c r="F21" s="53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13">
        <v>14</v>
      </c>
      <c r="AB21" s="13" t="s">
        <v>48</v>
      </c>
      <c r="AC21" s="29">
        <f>RTD("srv.rtd","","PLAYERSRANKING","INDV25","107","SALDO","VOLFWITHFACTOR")</f>
        <v>10980150</v>
      </c>
      <c r="AD21" s="17"/>
      <c r="AE21" s="13" t="s">
        <v>51</v>
      </c>
      <c r="AF21" s="29" t="str">
        <f>RTD("srv.rtd","","PLAYERSRANKING","WINV25","115","SALDO","VOLFWITHFACTOR")</f>
        <v>0</v>
      </c>
      <c r="AG21" s="12" t="s">
        <v>5</v>
      </c>
      <c r="AH21" s="19">
        <f>RTD("rtdtrading.rtdserver",, "DI1F28_F_0", "VAR")/100</f>
        <v>-2.618780396558185E-3</v>
      </c>
      <c r="AI21" s="12" t="s">
        <v>92</v>
      </c>
      <c r="AJ21" s="19">
        <f>RTD("rtdtrading.rtdserver",, "VALE_Y_0", "VAR")/100</f>
        <v>-1.9301470588235371E-2</v>
      </c>
      <c r="AK21" s="3"/>
      <c r="AL21" s="3"/>
      <c r="AM21" s="3"/>
      <c r="AN21" s="3"/>
      <c r="AO21" s="13" t="s">
        <v>8</v>
      </c>
      <c r="AP21" s="19">
        <f>RTD("rtdtrading.rtdserver",, "DI1F31_F_0", "VAR")/100</f>
        <v>1.4914243102160921E-3</v>
      </c>
      <c r="AQ21" s="3" t="str">
        <f t="shared" si="3"/>
        <v>POSITIVO</v>
      </c>
      <c r="AR21" s="3"/>
      <c r="AS21" s="12">
        <v>20</v>
      </c>
      <c r="AT21" s="12" t="s">
        <v>169</v>
      </c>
      <c r="AU21" s="34">
        <f>RTD("rtdtrading.rtdserver",, "CIEL3_B_0", "ULT")</f>
        <v>0</v>
      </c>
      <c r="AV21" s="34">
        <f>RTD("rtdtrading.rtdserver",, "CIEL3_B_0", "ABE")</f>
        <v>0</v>
      </c>
      <c r="AW21" s="34" t="str">
        <f t="shared" si="1"/>
        <v>NEUTRO</v>
      </c>
    </row>
    <row r="22" spans="1:49" x14ac:dyDescent="0.25">
      <c r="A22" s="24"/>
      <c r="B22" s="24"/>
      <c r="C22" s="24"/>
      <c r="D22" s="12" t="s">
        <v>231</v>
      </c>
      <c r="E22" s="42">
        <f>COUNTIF(AN13:AN18,"NEGATIVO")</f>
        <v>3</v>
      </c>
      <c r="F22" s="53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13">
        <v>15</v>
      </c>
      <c r="AB22" s="13" t="s">
        <v>35</v>
      </c>
      <c r="AC22" s="29">
        <f>RTD("srv.rtd","","PLAYERSRANKING","INDV25","127","SALDO","VOLFWITHFACTOR")</f>
        <v>53391350</v>
      </c>
      <c r="AD22" s="17"/>
      <c r="AE22" s="13" t="s">
        <v>52</v>
      </c>
      <c r="AF22" s="29">
        <f>RTD("srv.rtd","","PLAYERSRANKING","WINV25","39","SALDO","VOLFWITHFACTOR")</f>
        <v>-60658410</v>
      </c>
      <c r="AG22" s="12" t="s">
        <v>6</v>
      </c>
      <c r="AH22" s="19">
        <f>RTD("rtdtrading.rtdserver",, "DI1F29_F_0", "VAR")/100</f>
        <v>-1.5094339622642526E-3</v>
      </c>
      <c r="AI22" s="12" t="s">
        <v>93</v>
      </c>
      <c r="AJ22" s="19">
        <f>RTD("rtdtrading.rtdserver",, "PBR_Y_0", "VAR")/100</f>
        <v>-7.6277650648371961E-4</v>
      </c>
      <c r="AK22" s="3"/>
      <c r="AL22" s="3"/>
      <c r="AM22" s="3"/>
      <c r="AN22" s="3"/>
      <c r="AO22" s="13" t="s">
        <v>9</v>
      </c>
      <c r="AP22" s="19">
        <f>RTD("rtdtrading.rtdserver",, "DI1F32_F_0", "VAR")/100</f>
        <v>3.7050759540563209E-4</v>
      </c>
      <c r="AQ22" s="3" t="str">
        <f t="shared" si="3"/>
        <v>POSITIVO</v>
      </c>
      <c r="AR22" s="3"/>
      <c r="AS22" s="12">
        <v>21</v>
      </c>
      <c r="AT22" s="12" t="s">
        <v>170</v>
      </c>
      <c r="AU22" s="34">
        <f>RTD("rtdtrading.rtdserver",, "COGN3_B_0", "ULT")</f>
        <v>3.19</v>
      </c>
      <c r="AV22" s="34">
        <f>RTD("rtdtrading.rtdserver",, "COGN3_B_0", "ABE")</f>
        <v>3.15</v>
      </c>
      <c r="AW22" s="34" t="str">
        <f t="shared" si="1"/>
        <v>POSITIVO</v>
      </c>
    </row>
    <row r="23" spans="1:49" x14ac:dyDescent="0.25">
      <c r="A23" s="24"/>
      <c r="B23" s="24"/>
      <c r="C23" s="24"/>
      <c r="D23" s="24"/>
      <c r="E23" s="24"/>
      <c r="F23" s="53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13">
        <v>16</v>
      </c>
      <c r="AB23" s="13" t="s">
        <v>31</v>
      </c>
      <c r="AC23" s="29" t="str">
        <f>RTD("srv.rtd","","PLAYERSRANKING","INDV25","308","SALDO","VOLFWITHFACTOR")</f>
        <v>0</v>
      </c>
      <c r="AD23" s="17"/>
      <c r="AE23" s="13" t="s">
        <v>37</v>
      </c>
      <c r="AF23" s="29">
        <f>RTD("srv.rtd","","PLAYERSRANKING","WINV25","23","SALDO","VOLFWITHFACTOR")</f>
        <v>51115691</v>
      </c>
      <c r="AG23" s="12" t="s">
        <v>7</v>
      </c>
      <c r="AH23" s="19">
        <f>RTD("rtdtrading.rtdserver",, "DI1F30_F_0", "VAR")/100</f>
        <v>-1.1240164855751643E-3</v>
      </c>
      <c r="AI23" s="12" t="s">
        <v>94</v>
      </c>
      <c r="AJ23" s="19">
        <f>RTD("rtdtrading.rtdserver",, "ITUB_Y_0", "VAR")/100</f>
        <v>8.3333333333332794E-3</v>
      </c>
      <c r="AK23" s="3"/>
      <c r="AL23" s="3"/>
      <c r="AM23" s="3"/>
      <c r="AN23" s="3"/>
      <c r="AO23" s="13" t="s">
        <v>10</v>
      </c>
      <c r="AP23" s="19">
        <f>RTD("rtdtrading.rtdserver",, "DI1F33_F_0", "VAR")/100</f>
        <v>1.4820303816227918E-3</v>
      </c>
      <c r="AQ23" s="3" t="str">
        <f t="shared" si="3"/>
        <v>POSITIVO</v>
      </c>
      <c r="AR23" s="3"/>
      <c r="AS23" s="12">
        <v>22</v>
      </c>
      <c r="AT23" s="12" t="s">
        <v>171</v>
      </c>
      <c r="AU23" s="34">
        <f>RTD("rtdtrading.rtdserver",, "CPLE6_B_0", "ULT")</f>
        <v>12.6</v>
      </c>
      <c r="AV23" s="34">
        <f>RTD("rtdtrading.rtdserver",, "CPLE6_B_0", "ABE")</f>
        <v>12.8</v>
      </c>
      <c r="AW23" s="34" t="str">
        <f t="shared" si="1"/>
        <v>NEGATIVO</v>
      </c>
    </row>
    <row r="24" spans="1:49" x14ac:dyDescent="0.25">
      <c r="A24" s="24"/>
      <c r="B24" s="24"/>
      <c r="C24" s="24"/>
      <c r="D24" s="24"/>
      <c r="E24" s="24"/>
      <c r="F24" s="53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13">
        <v>17</v>
      </c>
      <c r="AB24" s="13" t="s">
        <v>40</v>
      </c>
      <c r="AC24" s="29">
        <f>RTD("srv.rtd","","PLAYERSRANKING","INDV25","6003","SALDO","VOLFWITHFACTOR")</f>
        <v>-1460925</v>
      </c>
      <c r="AD24" s="17"/>
      <c r="AE24" s="13" t="s">
        <v>43</v>
      </c>
      <c r="AF24" s="29">
        <f>RTD("srv.rtd","","PLAYERSRANKING","WINV25","59","SALDO","VOLFWITHFACTOR")</f>
        <v>9809920</v>
      </c>
      <c r="AG24" s="12" t="s">
        <v>8</v>
      </c>
      <c r="AH24" s="19">
        <f>RTD("rtdtrading.rtdserver",, "DI1F31_F_0", "VAR")/100</f>
        <v>1.4914243102160921E-3</v>
      </c>
      <c r="AI24" s="12" t="s">
        <v>95</v>
      </c>
      <c r="AJ24" s="19">
        <f>RTD("rtdtrading.rtdserver",, "BBD_Y_0", "VAR")/100</f>
        <v>6.0975609756096253E-3</v>
      </c>
      <c r="AK24" s="3"/>
      <c r="AL24" s="3"/>
      <c r="AM24" s="3"/>
      <c r="AN24" s="3"/>
      <c r="AO24" s="13" t="s">
        <v>11</v>
      </c>
      <c r="AP24" s="19">
        <f>RTD("rtdtrading.rtdserver",, "DI1F34_F_0", "VAR")/100</f>
        <v>1.4836795252225205E-3</v>
      </c>
      <c r="AQ24" s="3" t="str">
        <f t="shared" si="3"/>
        <v>POSITIVO</v>
      </c>
      <c r="AR24" s="3"/>
      <c r="AS24" s="12">
        <v>23</v>
      </c>
      <c r="AT24" s="12" t="s">
        <v>172</v>
      </c>
      <c r="AU24" s="34">
        <f>RTD("rtdtrading.rtdserver",, "CSAN3_B_0", "ULT")</f>
        <v>6.17</v>
      </c>
      <c r="AV24" s="34">
        <f>RTD("rtdtrading.rtdserver",, "CSAN3_B_0", "ABE")</f>
        <v>6.26</v>
      </c>
      <c r="AW24" s="34" t="str">
        <f t="shared" si="1"/>
        <v>NEGATIVO</v>
      </c>
    </row>
    <row r="25" spans="1:49" x14ac:dyDescent="0.25">
      <c r="A25" s="24"/>
      <c r="B25" s="24"/>
      <c r="C25" s="24"/>
      <c r="D25" s="24"/>
      <c r="E25" s="24"/>
      <c r="F25" s="53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13">
        <v>18</v>
      </c>
      <c r="AB25" s="13" t="s">
        <v>41</v>
      </c>
      <c r="AC25" s="30" t="str">
        <f>RTD("srv.rtd","","PLAYERSRANKING","INDV25","1099","SALDO","VOLFWITHFACTOR")</f>
        <v>0</v>
      </c>
      <c r="AD25" s="17"/>
      <c r="AE25" s="13" t="s">
        <v>46</v>
      </c>
      <c r="AF25" s="29" t="str">
        <f>RTD("srv.rtd","","PLAYERSRANKING","WINV25","190","SALDO","VOLFWITHFACTOR")</f>
        <v>0</v>
      </c>
      <c r="AG25" s="12" t="s">
        <v>9</v>
      </c>
      <c r="AH25" s="19">
        <f>RTD("rtdtrading.rtdserver",, "DI1F32_F_0", "VAR")/100</f>
        <v>3.7050759540563209E-4</v>
      </c>
      <c r="AI25" s="12" t="s">
        <v>96</v>
      </c>
      <c r="AJ25" s="19">
        <f>RTD("rtdtrading.rtdserver",, "ABEV_Y_0", "VAR")/100</f>
        <v>8.7336244541484798E-3</v>
      </c>
      <c r="AK25" s="3"/>
      <c r="AL25" s="3"/>
      <c r="AM25" s="3"/>
      <c r="AN25" s="3"/>
      <c r="AO25" s="13" t="s">
        <v>12</v>
      </c>
      <c r="AP25" s="19">
        <f>RTD("rtdtrading.rtdserver",, "DI1F35_F_0", "VAR")/100</f>
        <v>1.8566654288896085E-3</v>
      </c>
      <c r="AQ25" s="3" t="str">
        <f t="shared" si="3"/>
        <v>POSITIVO</v>
      </c>
      <c r="AR25" s="3"/>
      <c r="AS25" s="12">
        <v>24</v>
      </c>
      <c r="AT25" s="12" t="s">
        <v>173</v>
      </c>
      <c r="AU25" s="34">
        <f>RTD("rtdtrading.rtdserver",, "CPFE3_B_0", "ULT")</f>
        <v>38.869999999999997</v>
      </c>
      <c r="AV25" s="34">
        <f>RTD("rtdtrading.rtdserver",, "CPFE3_B_0", "ABE")</f>
        <v>39.270000000000003</v>
      </c>
      <c r="AW25" s="34" t="str">
        <f t="shared" si="1"/>
        <v>NEGATIVO</v>
      </c>
    </row>
    <row r="26" spans="1:49" x14ac:dyDescent="0.25">
      <c r="A26" s="24"/>
      <c r="B26" s="24"/>
      <c r="C26" s="24"/>
      <c r="D26" s="24"/>
      <c r="E26" s="24"/>
      <c r="F26" s="53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13">
        <v>19</v>
      </c>
      <c r="AB26" s="13" t="s">
        <v>114</v>
      </c>
      <c r="AC26" s="29" t="str">
        <f>RTD("srv.rtd","","PLAYERSRANKING","INDV25","4","SALDO","VOLFWITHFACTOR")</f>
        <v>0</v>
      </c>
      <c r="AD26" s="17"/>
      <c r="AE26" s="13" t="s">
        <v>40</v>
      </c>
      <c r="AF26" s="29">
        <f>RTD("srv.rtd","","PLAYERSRANKING","WINV25","6003","SALDO","VOLFWITHFACTOR")</f>
        <v>-3997483</v>
      </c>
      <c r="AG26" s="12" t="s">
        <v>10</v>
      </c>
      <c r="AH26" s="19">
        <f>RTD("rtdtrading.rtdserver",, "DI1F33_F_0", "VAR")/100</f>
        <v>1.4820303816227918E-3</v>
      </c>
      <c r="AI26" s="12" t="s">
        <v>97</v>
      </c>
      <c r="AJ26" s="19">
        <f>RTD("rtdtrading.rtdserver",, "GGB_Y_0", "VAR")/100</f>
        <v>9.8039215686273867E-3</v>
      </c>
      <c r="AK26" s="3"/>
      <c r="AL26" s="3"/>
      <c r="AM26" s="3"/>
      <c r="AN26" s="3"/>
      <c r="AO26" s="13" t="s">
        <v>14</v>
      </c>
      <c r="AP26" s="19">
        <f>RTD("rtdtrading.rtdserver",, "DI1F36_F_0", "VAR")/100</f>
        <v>-7.4515648286151712E-4</v>
      </c>
      <c r="AQ26" s="3" t="str">
        <f t="shared" si="3"/>
        <v>NEGATIVO</v>
      </c>
      <c r="AR26" s="3"/>
      <c r="AS26" s="12">
        <v>25</v>
      </c>
      <c r="AT26" s="12" t="s">
        <v>174</v>
      </c>
      <c r="AU26" s="34">
        <f>RTD("rtdtrading.rtdserver",, "CMIN3_B_0", "ULT")</f>
        <v>5.33</v>
      </c>
      <c r="AV26" s="34">
        <f>RTD("rtdtrading.rtdserver",, "CMIN3_B_0", "ABE")</f>
        <v>5.35</v>
      </c>
      <c r="AW26" s="34" t="str">
        <f t="shared" si="1"/>
        <v>NEGATIVO</v>
      </c>
    </row>
    <row r="27" spans="1:49" x14ac:dyDescent="0.25">
      <c r="A27" s="24"/>
      <c r="B27" s="24"/>
      <c r="C27" s="24"/>
      <c r="D27" s="24"/>
      <c r="E27" s="24"/>
      <c r="F27" s="53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13">
        <v>20</v>
      </c>
      <c r="AB27" s="13" t="s">
        <v>43</v>
      </c>
      <c r="AC27" s="29">
        <f>RTD("srv.rtd","","PLAYERSRANKING","INDV25","59","SALDO","VOLFWITHFACTOR")</f>
        <v>4450</v>
      </c>
      <c r="AD27" s="17"/>
      <c r="AE27" s="13" t="s">
        <v>38</v>
      </c>
      <c r="AF27" s="29">
        <f>RTD("srv.rtd","","PLAYERSRANKING","WINV25","262","SALDO","VOLFWITHFACTOR")</f>
        <v>-5413487</v>
      </c>
      <c r="AG27" s="12" t="s">
        <v>11</v>
      </c>
      <c r="AH27" s="19">
        <f>RTD("rtdtrading.rtdserver",, "DI1F34_F_0", "VAR")/100</f>
        <v>1.4836795252225205E-3</v>
      </c>
      <c r="AI27" s="3"/>
      <c r="AJ27" s="19">
        <f>SUM(AJ21:AJ26)</f>
        <v>1.2904193236999682E-2</v>
      </c>
      <c r="AK27" s="3"/>
      <c r="AL27" s="3"/>
      <c r="AM27" s="3"/>
      <c r="AN27" s="3"/>
      <c r="AO27" s="13" t="s">
        <v>232</v>
      </c>
      <c r="AP27" s="19">
        <f>RTD("rtdtrading.rtdserver",, "DI1F37_F_0", "VAR")/100</f>
        <v>0</v>
      </c>
      <c r="AQ27" s="3" t="str">
        <f t="shared" si="3"/>
        <v>NEUTRO</v>
      </c>
      <c r="AR27" s="3"/>
      <c r="AS27" s="12">
        <v>26</v>
      </c>
      <c r="AT27" s="12" t="s">
        <v>175</v>
      </c>
      <c r="AU27" s="34">
        <f>RTD("rtdtrading.rtdserver",, "CVCB3_B_0", "ULT")</f>
        <v>1.98</v>
      </c>
      <c r="AV27" s="34">
        <f>RTD("rtdtrading.rtdserver",, "CVCB3_B_0", "ABE")</f>
        <v>1.97</v>
      </c>
      <c r="AW27" s="34" t="str">
        <f t="shared" si="1"/>
        <v>POSITIVO</v>
      </c>
    </row>
    <row r="28" spans="1:49" x14ac:dyDescent="0.25">
      <c r="A28" s="24"/>
      <c r="B28" s="24"/>
      <c r="C28" s="24"/>
      <c r="D28" s="24"/>
      <c r="E28" s="24"/>
      <c r="F28" s="53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13">
        <v>21</v>
      </c>
      <c r="AB28" s="13" t="s">
        <v>42</v>
      </c>
      <c r="AC28" s="29" t="str">
        <f>RTD("srv.rtd","","PLAYERSRANKING","INDV25","83","SALDO","VOLFWITHFACTOR")</f>
        <v>0</v>
      </c>
      <c r="AD28" s="17"/>
      <c r="AE28" s="13" t="s">
        <v>45</v>
      </c>
      <c r="AF28" s="29">
        <f>RTD("srv.rtd","","PLAYERSRANKING","WINV25","688","SALDO","VOLFWITHFACTOR")</f>
        <v>-168</v>
      </c>
      <c r="AG28" s="12" t="s">
        <v>12</v>
      </c>
      <c r="AH28" s="19">
        <f>RTD("rtdtrading.rtdserver",, "DI1F35_F_0", "VAR")/100</f>
        <v>1.8566654288896085E-3</v>
      </c>
      <c r="AI28" s="3"/>
      <c r="AJ28" s="21"/>
      <c r="AK28" s="3"/>
      <c r="AL28" s="3"/>
      <c r="AM28" s="3"/>
      <c r="AN28" s="3"/>
      <c r="AO28" s="13" t="s">
        <v>233</v>
      </c>
      <c r="AP28" s="19">
        <f>RTD("rtdtrading.rtdserver",, "DI1F38_F_0", "VAR")/100</f>
        <v>-2.6158445440956756E-3</v>
      </c>
      <c r="AQ28" s="3" t="str">
        <f t="shared" si="3"/>
        <v>NEGATIVO</v>
      </c>
      <c r="AR28" s="3"/>
      <c r="AS28" s="12">
        <v>27</v>
      </c>
      <c r="AT28" s="12" t="s">
        <v>176</v>
      </c>
      <c r="AU28" s="34">
        <f>RTD("rtdtrading.rtdserver",, "CYRE3_B_0", "ULT")</f>
        <v>30.43</v>
      </c>
      <c r="AV28" s="34">
        <f>RTD("rtdtrading.rtdserver",, "CYRE3_B_0", "ABE")</f>
        <v>30.08</v>
      </c>
      <c r="AW28" s="34" t="str">
        <f t="shared" si="1"/>
        <v>POSITIVO</v>
      </c>
    </row>
    <row r="29" spans="1:49" x14ac:dyDescent="0.25">
      <c r="A29" s="24"/>
      <c r="B29" s="24"/>
      <c r="C29" s="24"/>
      <c r="D29" s="24"/>
      <c r="E29" s="24"/>
      <c r="F29" s="53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13">
        <v>22</v>
      </c>
      <c r="AB29" s="13" t="s">
        <v>51</v>
      </c>
      <c r="AC29" s="29" t="str">
        <f>RTD("srv.rtd","","PLAYERSRANKING","INDV25","115","SALDO","VOLFWITHFACTOR")</f>
        <v>0</v>
      </c>
      <c r="AD29" s="17"/>
      <c r="AE29" s="13" t="s">
        <v>115</v>
      </c>
      <c r="AF29" s="29" t="str">
        <f>RTD("srv.rtd","","PLAYERSRANKING","WINV25","106","SALDO","VOLFWITHFACTOR")</f>
        <v>0</v>
      </c>
      <c r="AG29" s="12" t="s">
        <v>14</v>
      </c>
      <c r="AH29" s="19">
        <f>RTD("rtdtrading.rtdserver",,"DI1F36_F_0","VAR")/100</f>
        <v>-7.4515648286151712E-4</v>
      </c>
      <c r="AI29" s="3"/>
      <c r="AJ29" s="21"/>
      <c r="AK29" s="3"/>
      <c r="AL29" s="3"/>
      <c r="AM29" s="3"/>
      <c r="AN29" s="3"/>
      <c r="AO29" s="13" t="s">
        <v>234</v>
      </c>
      <c r="AP29" s="19">
        <f>RTD("rtdtrading.rtdserver",, "DI1F39_F_0", "VAR")/100</f>
        <v>0</v>
      </c>
      <c r="AQ29" s="3" t="str">
        <f t="shared" si="3"/>
        <v>NEUTRO</v>
      </c>
      <c r="AR29" s="3"/>
      <c r="AS29" s="12">
        <v>28</v>
      </c>
      <c r="AT29" s="12" t="s">
        <v>177</v>
      </c>
      <c r="AU29" s="34">
        <f>RTD("rtdtrading.rtdserver",, "DXCO3_B_0", "ULT")</f>
        <v>5.74</v>
      </c>
      <c r="AV29" s="34">
        <f>RTD("rtdtrading.rtdserver",, "DXCO3_B_0", "ABE")</f>
        <v>5.76</v>
      </c>
      <c r="AW29" s="34" t="str">
        <f t="shared" si="1"/>
        <v>NEGATIVO</v>
      </c>
    </row>
    <row r="30" spans="1:49" x14ac:dyDescent="0.25">
      <c r="A30" s="24"/>
      <c r="B30" s="24"/>
      <c r="C30" s="24"/>
      <c r="D30" s="24"/>
      <c r="E30" s="24"/>
      <c r="F30" s="53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13">
        <v>23</v>
      </c>
      <c r="AB30" s="13" t="s">
        <v>38</v>
      </c>
      <c r="AC30" s="29">
        <f>RTD("srv.rtd","","PLAYERSRANKING","INDV25","262","SALDO","VOLFWITHFACTOR")</f>
        <v>-19029625</v>
      </c>
      <c r="AD30" s="17"/>
      <c r="AE30" s="13" t="s">
        <v>50</v>
      </c>
      <c r="AF30" s="29" t="str">
        <f>RTD("srv.rtd","","PLAYERSRANKING","WINV25","3701","SALDO","VOLFWITHFACTOR")</f>
        <v>0</v>
      </c>
      <c r="AG30" s="3"/>
      <c r="AH30" s="20">
        <f>SUM(AH17:AH29)</f>
        <v>-2.5113743289729498E-3</v>
      </c>
      <c r="AI30" s="3"/>
      <c r="AJ30" s="21"/>
      <c r="AK30" s="3"/>
      <c r="AL30" s="3"/>
      <c r="AM30" s="3"/>
      <c r="AN30" s="3"/>
      <c r="AO30" s="13" t="s">
        <v>235</v>
      </c>
      <c r="AP30" s="19">
        <f>RTD("rtdtrading.rtdserver",, "DI1F40_F_0", "VAR")/100</f>
        <v>-3.7636432066259372E-4</v>
      </c>
      <c r="AQ30" s="3" t="str">
        <f t="shared" si="3"/>
        <v>NEGATIVO</v>
      </c>
      <c r="AR30" s="3"/>
      <c r="AS30" s="12">
        <v>29</v>
      </c>
      <c r="AT30" s="12" t="s">
        <v>89</v>
      </c>
      <c r="AU30" s="34">
        <f>RTD("rtdtrading.rtdserver",, "ELET3_B_0", "ULT")</f>
        <v>50.51</v>
      </c>
      <c r="AV30" s="34">
        <f>RTD("rtdtrading.rtdserver",, "ELET3_B_0", "ABE")</f>
        <v>50.65</v>
      </c>
      <c r="AW30" s="34" t="str">
        <f t="shared" si="1"/>
        <v>NEGATIVO</v>
      </c>
    </row>
    <row r="31" spans="1:49" x14ac:dyDescent="0.25">
      <c r="A31" s="24"/>
      <c r="B31" s="24"/>
      <c r="C31" s="24"/>
      <c r="D31" s="24"/>
      <c r="E31" s="24"/>
      <c r="F31" s="53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13">
        <v>24</v>
      </c>
      <c r="AB31" s="13" t="s">
        <v>50</v>
      </c>
      <c r="AC31" s="29" t="str">
        <f>RTD("srv.rtd","","PLAYERSRANKING","INDV25","3701","SALDO","VOLFWITHFACTOR")</f>
        <v>0</v>
      </c>
      <c r="AD31" s="17"/>
      <c r="AE31" s="13" t="s">
        <v>76</v>
      </c>
      <c r="AF31" s="29" t="str">
        <f>RTD("srv.rtd","","PLAYERSRANKING","WINV25","1130","SALDO","VOLFWITHFACTOR")</f>
        <v>0</v>
      </c>
      <c r="AG31" s="5" t="s">
        <v>119</v>
      </c>
      <c r="AH31" s="1"/>
      <c r="AI31" s="3"/>
      <c r="AJ31" s="21"/>
      <c r="AK31" s="3"/>
      <c r="AL31" s="3"/>
      <c r="AM31" s="3"/>
      <c r="AN31" s="3"/>
      <c r="AO31" s="13" t="s">
        <v>236</v>
      </c>
      <c r="AP31" s="19">
        <f>RTD("rtdtrading.rtdserver",, "DI1G26_F_0", "VAR")/100</f>
        <v>-3.3568311513936091E-4</v>
      </c>
      <c r="AQ31" s="3" t="str">
        <f t="shared" si="3"/>
        <v>NEGATIVO</v>
      </c>
      <c r="AR31" s="3"/>
      <c r="AS31" s="12">
        <v>30</v>
      </c>
      <c r="AT31" s="12" t="s">
        <v>178</v>
      </c>
      <c r="AU31" s="34">
        <f>RTD("rtdtrading.rtdserver",, "ELET6_B_0", "ULT")</f>
        <v>53.31</v>
      </c>
      <c r="AV31" s="34">
        <f>RTD("rtdtrading.rtdserver",, "ELET6_B_0", "ABE")</f>
        <v>53.2</v>
      </c>
      <c r="AW31" s="34" t="str">
        <f t="shared" si="1"/>
        <v>POSITIVO</v>
      </c>
    </row>
    <row r="32" spans="1:49" x14ac:dyDescent="0.25">
      <c r="A32" s="24"/>
      <c r="B32" s="24"/>
      <c r="C32" s="24"/>
      <c r="D32" s="24"/>
      <c r="E32" s="24"/>
      <c r="F32" s="53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13">
        <v>25</v>
      </c>
      <c r="AB32" s="13" t="s">
        <v>29</v>
      </c>
      <c r="AC32" s="29">
        <f>RTD("srv.rtd","","PLAYERSRANKING","INDV25","122","SALDO","VOLFWITHFACTOR")</f>
        <v>-14647500</v>
      </c>
      <c r="AD32" s="17"/>
      <c r="AE32" s="13" t="s">
        <v>48</v>
      </c>
      <c r="AF32" s="29">
        <f>RTD("srv.rtd","","PLAYERSRANKING","WINV25","107","SALDO","VOLFWITHFACTOR")</f>
        <v>8914674</v>
      </c>
      <c r="AG32" s="12" t="s">
        <v>99</v>
      </c>
      <c r="AH32" s="19">
        <f>RTD("rtdtrading.rtdserver",, "DI1FUT_F_0", "VAR")/100</f>
        <v>-2.618780396558185E-3</v>
      </c>
      <c r="AI32" s="3"/>
      <c r="AJ32" s="21"/>
      <c r="AK32" s="3"/>
      <c r="AL32" s="3"/>
      <c r="AM32" s="3"/>
      <c r="AN32" s="3"/>
      <c r="AO32" s="13" t="s">
        <v>237</v>
      </c>
      <c r="AP32" s="19">
        <f>RTD("rtdtrading.rtdserver",, "DI1H26_F_0", "VAR")/100</f>
        <v>-3.3613445378168451E-4</v>
      </c>
      <c r="AQ32" s="3" t="str">
        <f t="shared" si="3"/>
        <v>NEGATIVO</v>
      </c>
      <c r="AR32" s="3"/>
      <c r="AS32" s="12">
        <v>31</v>
      </c>
      <c r="AT32" s="12" t="s">
        <v>179</v>
      </c>
      <c r="AU32" s="34">
        <f>RTD("rtdtrading.rtdserver",, "EMBR3_B_0", "ULT")</f>
        <v>80.739999999999995</v>
      </c>
      <c r="AV32" s="34">
        <f>RTD("rtdtrading.rtdserver",, "EMBR3_B_0", "ABE")</f>
        <v>80.23</v>
      </c>
      <c r="AW32" s="34" t="str">
        <f t="shared" si="1"/>
        <v>POSITIVO</v>
      </c>
    </row>
    <row r="33" spans="1:49" x14ac:dyDescent="0.25">
      <c r="A33" s="24"/>
      <c r="B33" s="24"/>
      <c r="C33" s="24"/>
      <c r="D33" s="24"/>
      <c r="E33" s="24"/>
      <c r="F33" s="53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13">
        <v>26</v>
      </c>
      <c r="AB33" s="13" t="s">
        <v>32</v>
      </c>
      <c r="AC33" s="29">
        <f>RTD("srv.rtd","","PLAYERSRANKING","INDV25","114","SALDO","VOLFWITHFACTOR")</f>
        <v>4394500</v>
      </c>
      <c r="AD33" s="17"/>
      <c r="AE33" s="13" t="s">
        <v>42</v>
      </c>
      <c r="AF33" s="29">
        <f>RTD("srv.rtd","","PLAYERSRANKING","WINV25","83","SALDO","VOLFWITHFACTOR")</f>
        <v>-2142591</v>
      </c>
      <c r="AG33" s="6" t="s">
        <v>120</v>
      </c>
      <c r="AH33" s="1"/>
      <c r="AI33" s="3"/>
      <c r="AJ33" s="21"/>
      <c r="AK33" s="3"/>
      <c r="AL33" s="3"/>
      <c r="AM33" s="3"/>
      <c r="AN33" s="3"/>
      <c r="AO33" s="13" t="s">
        <v>238</v>
      </c>
      <c r="AP33" s="19">
        <f>RTD("rtdtrading.rtdserver",, "DI1J26_F_0", "VAR")/100</f>
        <v>-3.3715441672303151E-4</v>
      </c>
      <c r="AQ33" s="3" t="str">
        <f t="shared" si="3"/>
        <v>NEGATIVO</v>
      </c>
      <c r="AR33" s="3"/>
      <c r="AS33" s="12">
        <v>32</v>
      </c>
      <c r="AT33" s="12" t="s">
        <v>180</v>
      </c>
      <c r="AU33" s="34">
        <f>RTD("rtdtrading.rtdserver",, "ENGI11_B_0", "ULT")</f>
        <v>50.67</v>
      </c>
      <c r="AV33" s="34">
        <f>RTD("rtdtrading.rtdserver",, "ENGI11_B_0", "ABE")</f>
        <v>50.88</v>
      </c>
      <c r="AW33" s="34" t="str">
        <f t="shared" si="1"/>
        <v>NEGATIVO</v>
      </c>
    </row>
    <row r="34" spans="1:49" x14ac:dyDescent="0.25">
      <c r="A34" s="24"/>
      <c r="B34" s="24"/>
      <c r="C34" s="24"/>
      <c r="D34" s="24"/>
      <c r="E34" s="24"/>
      <c r="F34" s="53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13">
        <v>27</v>
      </c>
      <c r="AB34" s="13" t="s">
        <v>49</v>
      </c>
      <c r="AC34" s="29">
        <f>RTD("srv.rtd","","PLAYERSRANKING","INDV25","77","SALDO","VOLFWITHFACTOR")</f>
        <v>-9503725</v>
      </c>
      <c r="AD34" s="17"/>
      <c r="AE34" s="13" t="s">
        <v>56</v>
      </c>
      <c r="AF34" s="29">
        <f>RTD("srv.rtd","","PLAYERSRANKING","WINV25","85","SALDO","VOLFWITHFACTOR")</f>
        <v>-389738116</v>
      </c>
      <c r="AG34" s="12" t="s">
        <v>91</v>
      </c>
      <c r="AH34" s="19">
        <f>RTD("rtdtrading.rtdserver",, "IBOV_B_0", "VAR")/100</f>
        <v>1.2799175919709798E-3</v>
      </c>
      <c r="AI34" s="3"/>
      <c r="AJ34" s="21"/>
      <c r="AK34" s="3"/>
      <c r="AL34" s="3"/>
      <c r="AM34" s="3"/>
      <c r="AN34" s="3"/>
      <c r="AO34" s="13" t="s">
        <v>239</v>
      </c>
      <c r="AP34" s="19">
        <f>RTD("rtdtrading.rtdserver",, "DI1J27_F_0", "VAR")/100</f>
        <v>-3.6062026685901531E-3</v>
      </c>
      <c r="AQ34" s="3" t="str">
        <f t="shared" si="3"/>
        <v>NEGATIVO</v>
      </c>
      <c r="AR34" s="3"/>
      <c r="AS34" s="12">
        <v>33</v>
      </c>
      <c r="AT34" s="12" t="s">
        <v>181</v>
      </c>
      <c r="AU34" s="34">
        <f>RTD("rtdtrading.rtdserver",, "ENEV3_B_0", "ULT")</f>
        <v>16.690000000000001</v>
      </c>
      <c r="AV34" s="34">
        <f>RTD("rtdtrading.rtdserver",, "ENEV3_B_0", "ABE")</f>
        <v>16.45</v>
      </c>
      <c r="AW34" s="34" t="str">
        <f t="shared" si="1"/>
        <v>POSITIVO</v>
      </c>
    </row>
    <row r="35" spans="1:49" x14ac:dyDescent="0.25">
      <c r="A35" s="24"/>
      <c r="B35" s="24"/>
      <c r="C35" s="24"/>
      <c r="D35" s="24"/>
      <c r="E35" s="24"/>
      <c r="F35" s="53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13">
        <v>28</v>
      </c>
      <c r="AB35" s="13" t="s">
        <v>47</v>
      </c>
      <c r="AC35" s="29" t="str">
        <f>RTD("srv.rtd","","PLAYERSRANKING","INDV25","92","SALDO","VOLFWITHFACTOR")</f>
        <v>0</v>
      </c>
      <c r="AD35" s="17"/>
      <c r="AE35" s="13" t="s">
        <v>41</v>
      </c>
      <c r="AF35" s="29">
        <f>RTD("srv.rtd","","PLAYERSRANKING","WINV25","1099","SALDO","VOLFWITHFACTOR")</f>
        <v>-5465399</v>
      </c>
      <c r="AG35" s="5" t="s">
        <v>121</v>
      </c>
      <c r="AH35" s="1"/>
      <c r="AI35" s="3"/>
      <c r="AJ35" s="21"/>
      <c r="AK35" s="3"/>
      <c r="AL35" s="3"/>
      <c r="AM35" s="3"/>
      <c r="AN35" s="3"/>
      <c r="AO35" s="13" t="s">
        <v>240</v>
      </c>
      <c r="AP35" s="19">
        <f>RTD("rtdtrading.rtdserver",, "DI1J28_F_0", "VAR")/100</f>
        <v>-3.0086498683716371E-3</v>
      </c>
      <c r="AQ35" s="3" t="str">
        <f t="shared" si="3"/>
        <v>NEGATIVO</v>
      </c>
      <c r="AR35" s="3"/>
      <c r="AS35" s="12">
        <v>34</v>
      </c>
      <c r="AT35" s="12" t="s">
        <v>182</v>
      </c>
      <c r="AU35" s="34">
        <f>RTD("rtdtrading.rtdserver",, "EGIE3_B_0", "ULT")</f>
        <v>40.08</v>
      </c>
      <c r="AV35" s="34">
        <f>RTD("rtdtrading.rtdserver",, "EGIE3_B_0", "ABE")</f>
        <v>40.47</v>
      </c>
      <c r="AW35" s="34" t="str">
        <f t="shared" si="1"/>
        <v>NEGATIVO</v>
      </c>
    </row>
    <row r="36" spans="1:49" x14ac:dyDescent="0.25">
      <c r="A36" s="24"/>
      <c r="B36" s="24"/>
      <c r="C36" s="24"/>
      <c r="D36" s="24"/>
      <c r="E36" s="24"/>
      <c r="F36" s="53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13">
        <v>29</v>
      </c>
      <c r="AB36" s="13" t="s">
        <v>26</v>
      </c>
      <c r="AC36" s="29" t="str">
        <f>RTD("srv.rtd","","PLAYERSRANKING","INDV25","72","SALDO","VOLFWITHFACTOR")</f>
        <v>0</v>
      </c>
      <c r="AD36" s="17"/>
      <c r="AE36" s="13" t="s">
        <v>26</v>
      </c>
      <c r="AF36" s="29" t="str">
        <f>RTD("srv.rtd","","PLAYERSRANKING","WINV25","72","SALDO","VOLFWITHFACTOR")</f>
        <v>0</v>
      </c>
      <c r="AG36" s="12" t="s">
        <v>100</v>
      </c>
      <c r="AH36" s="19">
        <f>RTD("rtdtrading.rtdserver",, "SMLL_B_0", "VAR")/100</f>
        <v>6.9382584523652946E-3</v>
      </c>
      <c r="AI36" s="3"/>
      <c r="AJ36" s="21"/>
      <c r="AK36" s="3"/>
      <c r="AL36" s="3"/>
      <c r="AM36" s="3"/>
      <c r="AN36" s="3"/>
      <c r="AO36" s="13" t="s">
        <v>241</v>
      </c>
      <c r="AP36" s="19">
        <f>RTD("rtdtrading.rtdserver",, "DI1J29_F_0", "VAR")/100</f>
        <v>-1.5065913370997796E-3</v>
      </c>
      <c r="AQ36" s="3" t="str">
        <f t="shared" si="3"/>
        <v>NEGATIVO</v>
      </c>
      <c r="AR36" s="3"/>
      <c r="AS36" s="12">
        <v>35</v>
      </c>
      <c r="AT36" s="12" t="s">
        <v>183</v>
      </c>
      <c r="AU36" s="34">
        <f>RTD("rtdtrading.rtdserver",, "EQTL3_B_0", "ULT")</f>
        <v>36.67</v>
      </c>
      <c r="AV36" s="34">
        <f>RTD("rtdtrading.rtdserver",, "EQTL3_B_0", "ABE")</f>
        <v>36.75</v>
      </c>
      <c r="AW36" s="34" t="str">
        <f t="shared" si="1"/>
        <v>NEGATIVO</v>
      </c>
    </row>
    <row r="37" spans="1:49" x14ac:dyDescent="0.25">
      <c r="A37" s="24"/>
      <c r="B37" s="24"/>
      <c r="C37" s="24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13">
        <v>30</v>
      </c>
      <c r="AB37" s="13" t="s">
        <v>59</v>
      </c>
      <c r="AC37" s="29">
        <f>RTD("srv.rtd","","PLAYERSRANKING","INDV25","40","SALDO","VOLFWITHFACTOR")</f>
        <v>17569525</v>
      </c>
      <c r="AD37" s="17"/>
      <c r="AE37" s="13" t="s">
        <v>55</v>
      </c>
      <c r="AF37" s="29">
        <f>RTD("srv.rtd","","PLAYERSRANKING","WINV25","88","SALDO","VOLFWITHFACTOR")</f>
        <v>-66233246</v>
      </c>
      <c r="AG37" s="5" t="s">
        <v>127</v>
      </c>
      <c r="AH37" s="1"/>
      <c r="AI37" s="3"/>
      <c r="AJ37" s="21"/>
      <c r="AK37" s="3"/>
      <c r="AL37" s="3"/>
      <c r="AM37" s="3"/>
      <c r="AN37" s="3"/>
      <c r="AO37" s="13" t="s">
        <v>242</v>
      </c>
      <c r="AP37" s="19">
        <f>RTD("rtdtrading.rtdserver",, "DI1J30_F_0", "VAR")/100</f>
        <v>1.876172607879818E-3</v>
      </c>
      <c r="AQ37" s="3" t="str">
        <f t="shared" si="3"/>
        <v>POSITIVO</v>
      </c>
      <c r="AR37" s="3"/>
      <c r="AS37" s="12">
        <v>36</v>
      </c>
      <c r="AT37" s="12" t="s">
        <v>184</v>
      </c>
      <c r="AU37" s="34">
        <f>RTD("rtdtrading.rtdserver",, "EZTC3_B_0", "ULT")</f>
        <v>16.48</v>
      </c>
      <c r="AV37" s="34">
        <f>RTD("rtdtrading.rtdserver",, "EZTC3_B_0", "ABE")</f>
        <v>16.11</v>
      </c>
      <c r="AW37" s="34" t="str">
        <f t="shared" si="1"/>
        <v>POSITIVO</v>
      </c>
    </row>
    <row r="38" spans="1:49" x14ac:dyDescent="0.25">
      <c r="A38" s="24"/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13">
        <v>31</v>
      </c>
      <c r="AB38" s="13" t="s">
        <v>61</v>
      </c>
      <c r="AC38" s="29">
        <f>RTD("srv.rtd","","PLAYERSRANKING","INDV25","238","SALDO","VOLFWITHFACTOR")</f>
        <v>-23378775</v>
      </c>
      <c r="AD38" s="3"/>
      <c r="AE38" s="13" t="s">
        <v>35</v>
      </c>
      <c r="AF38" s="29">
        <f>RTD("srv.rtd","","PLAYERSRANKING","WINV25","127","SALDO","VOLFWITHFACTOR")</f>
        <v>118955816</v>
      </c>
      <c r="AG38" s="12" t="s">
        <v>102</v>
      </c>
      <c r="AH38" s="19"/>
      <c r="AI38" s="3"/>
      <c r="AJ38" s="21"/>
      <c r="AK38" s="3"/>
      <c r="AL38" s="3"/>
      <c r="AM38" s="3"/>
      <c r="AN38" s="3"/>
      <c r="AO38" s="13" t="s">
        <v>243</v>
      </c>
      <c r="AP38" s="19">
        <f>RTD("rtdtrading.rtdserver",, "DI1K26_F_0", "VAR")/100</f>
        <v>-1.3518080432579486E-3</v>
      </c>
      <c r="AQ38" s="3" t="str">
        <f t="shared" si="3"/>
        <v>NEGATIVO</v>
      </c>
      <c r="AR38" s="3"/>
      <c r="AS38" s="12">
        <v>37</v>
      </c>
      <c r="AT38" s="12" t="s">
        <v>185</v>
      </c>
      <c r="AU38" s="34">
        <f>RTD("rtdtrading.rtdserver",, "FLRY3_B_0", "ULT")</f>
        <v>16.12</v>
      </c>
      <c r="AV38" s="34">
        <f>RTD("rtdtrading.rtdserver",, "FLRY3_B_0", "ABE")</f>
        <v>16.12</v>
      </c>
      <c r="AW38" s="34" t="str">
        <f t="shared" si="1"/>
        <v>NEUTRO</v>
      </c>
    </row>
    <row r="39" spans="1:49" x14ac:dyDescent="0.25">
      <c r="A39" s="24"/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13">
        <v>32</v>
      </c>
      <c r="AB39" s="13" t="s">
        <v>53</v>
      </c>
      <c r="AC39" s="29" t="str">
        <f>RTD("srv.rtd","","PLAYERSRANKING","INDV25","735","SALDO","VOLFWITHFACTOR")</f>
        <v>0</v>
      </c>
      <c r="AD39" s="17"/>
      <c r="AE39" s="13" t="s">
        <v>34</v>
      </c>
      <c r="AF39" s="29">
        <f>RTD("srv.rtd","","PLAYERSRANKING","WINV25","93","SALDO","VOLFWITHFACTOR")</f>
        <v>-82295376</v>
      </c>
      <c r="AG39" s="12" t="s">
        <v>103</v>
      </c>
      <c r="AH39" s="19"/>
      <c r="AI39" s="3"/>
      <c r="AJ39" s="21"/>
      <c r="AK39" s="3"/>
      <c r="AL39" s="3"/>
      <c r="AM39" s="3"/>
      <c r="AN39" s="3"/>
      <c r="AO39" s="13" t="s">
        <v>244</v>
      </c>
      <c r="AP39" s="19">
        <f>RTD("rtdtrading.rtdserver",, "DI1M26_F_0", "VAR")/100</f>
        <v>-1.0200612036723796E-3</v>
      </c>
      <c r="AQ39" s="3" t="str">
        <f t="shared" si="3"/>
        <v>NEGATIVO</v>
      </c>
      <c r="AR39" s="3"/>
      <c r="AS39" s="12">
        <v>38</v>
      </c>
      <c r="AT39" s="12" t="s">
        <v>186</v>
      </c>
      <c r="AU39" s="34">
        <f>RTD("rtdtrading.rtdserver",, "GGBR4_B_0", "ULT")</f>
        <v>16.649999999999999</v>
      </c>
      <c r="AV39" s="34">
        <f>RTD("rtdtrading.rtdserver",, "GGBR4_B_0", "ABE")</f>
        <v>16.7</v>
      </c>
      <c r="AW39" s="34" t="str">
        <f t="shared" si="1"/>
        <v>NEGATIVO</v>
      </c>
    </row>
    <row r="40" spans="1:49" x14ac:dyDescent="0.25">
      <c r="A40" s="24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13">
        <v>33</v>
      </c>
      <c r="AB40" s="13" t="s">
        <v>33</v>
      </c>
      <c r="AC40" s="29">
        <f>RTD("srv.rtd","","PLAYERSRANKING","INDV25","147","SALDO","VOLFWITHFACTOR")</f>
        <v>20634150</v>
      </c>
      <c r="AD40" s="17"/>
      <c r="AE40" s="13" t="s">
        <v>60</v>
      </c>
      <c r="AF40" s="29">
        <f>RTD("srv.rtd","","PLAYERSRANKING","WINV25","1618","SALDO","VOLFWITHFACTOR")</f>
        <v>102477717</v>
      </c>
      <c r="AG40" s="12" t="s">
        <v>104</v>
      </c>
      <c r="AH40" s="19"/>
      <c r="AI40" s="3"/>
      <c r="AJ40" s="21"/>
      <c r="AK40" s="3"/>
      <c r="AL40" s="3"/>
      <c r="AM40" s="3"/>
      <c r="AN40" s="3"/>
      <c r="AO40" s="13" t="s">
        <v>245</v>
      </c>
      <c r="AP40" s="19">
        <f>RTD("rtdtrading.rtdserver",, "DI1N25_F_0", "VAR")/100</f>
        <v>0</v>
      </c>
      <c r="AQ40" s="3" t="str">
        <f t="shared" si="3"/>
        <v>NEUTRO</v>
      </c>
      <c r="AR40" s="3"/>
      <c r="AS40" s="12">
        <v>39</v>
      </c>
      <c r="AT40" s="12" t="s">
        <v>187</v>
      </c>
      <c r="AU40" s="34">
        <f>RTD("rtdtrading.rtdserver",, "GOAU4_B_0", "ULT")</f>
        <v>9.51</v>
      </c>
      <c r="AV40" s="34">
        <f>RTD("rtdtrading.rtdserver",, "GOAU4_B_0", "ABE")</f>
        <v>9.5500000000000007</v>
      </c>
      <c r="AW40" s="34" t="str">
        <f t="shared" si="1"/>
        <v>NEGATIVO</v>
      </c>
    </row>
    <row r="41" spans="1:49" x14ac:dyDescent="0.25">
      <c r="A41" s="24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13">
        <v>34</v>
      </c>
      <c r="AB41" s="13" t="s">
        <v>57</v>
      </c>
      <c r="AC41" s="29">
        <f>RTD("srv.rtd","","PLAYERSRANKING","INDV25","13","SALDO","VOLFWITHFACTOR")</f>
        <v>-731875</v>
      </c>
      <c r="AD41" s="17"/>
      <c r="AE41" s="13" t="s">
        <v>62</v>
      </c>
      <c r="AF41" s="29">
        <f>RTD("srv.rtd","","PLAYERSRANKING","WINV25","16","SALDO","VOLFWITHFACTOR")</f>
        <v>61275638</v>
      </c>
      <c r="AG41" s="12" t="s">
        <v>105</v>
      </c>
      <c r="AH41" s="19"/>
      <c r="AI41" s="3"/>
      <c r="AJ41" s="21"/>
      <c r="AK41" s="3"/>
      <c r="AL41" s="3"/>
      <c r="AM41" s="3"/>
      <c r="AN41" s="3"/>
      <c r="AO41" s="13" t="s">
        <v>246</v>
      </c>
      <c r="AP41" s="19">
        <f>RTD("rtdtrading.rtdserver",, "DI1N26_F_0", "VAR")/100</f>
        <v>-1.0256410256411859E-3</v>
      </c>
      <c r="AQ41" s="3" t="str">
        <f t="shared" si="3"/>
        <v>NEGATIVO</v>
      </c>
      <c r="AR41" s="3"/>
      <c r="AS41" s="12">
        <v>40</v>
      </c>
      <c r="AT41" s="12" t="s">
        <v>188</v>
      </c>
      <c r="AU41" s="34">
        <f>RTD("rtdtrading.rtdserver",, "NTCO3_B_0", "ULT")</f>
        <v>10.8</v>
      </c>
      <c r="AV41" s="34">
        <f>RTD("rtdtrading.rtdserver",, "NTCO3_B_0", "ABE")</f>
        <v>11.11</v>
      </c>
      <c r="AW41" s="34" t="str">
        <f t="shared" si="1"/>
        <v>NEGATIVO</v>
      </c>
    </row>
    <row r="42" spans="1:49" x14ac:dyDescent="0.25">
      <c r="A42" s="24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13">
        <v>35</v>
      </c>
      <c r="AB42" s="13" t="s">
        <v>58</v>
      </c>
      <c r="AC42" s="29">
        <f>RTD("srv.rtd","","PLAYERSRANKING","INDV25","8","SALDO","VOLFWITHFACTOR")</f>
        <v>-93679650</v>
      </c>
      <c r="AD42" s="17"/>
      <c r="AE42" s="13" t="s">
        <v>32</v>
      </c>
      <c r="AF42" s="29">
        <f>RTD("srv.rtd","","PLAYERSRANKING","WINV25","114","SALDO","VOLFWITHFACTOR")</f>
        <v>354716733</v>
      </c>
      <c r="AG42" s="12" t="s">
        <v>122</v>
      </c>
      <c r="AH42" s="19"/>
      <c r="AI42" s="3"/>
      <c r="AJ42" s="21"/>
      <c r="AK42" s="3"/>
      <c r="AL42" s="3"/>
      <c r="AM42" s="3"/>
      <c r="AN42" s="3"/>
      <c r="AO42" s="13" t="s">
        <v>247</v>
      </c>
      <c r="AP42" s="19">
        <f>RTD("rtdtrading.rtdserver",, "DI1N27_F_0", "VAR")/100</f>
        <v>-2.9293299157818324E-3</v>
      </c>
      <c r="AQ42" s="3" t="str">
        <f t="shared" si="3"/>
        <v>NEGATIVO</v>
      </c>
      <c r="AR42" s="3"/>
      <c r="AS42" s="12">
        <v>41</v>
      </c>
      <c r="AT42" s="12" t="s">
        <v>189</v>
      </c>
      <c r="AU42" s="34">
        <f>RTD("rtdtrading.rtdserver",, "SOMA3_B_0", "ULT")</f>
        <v>0</v>
      </c>
      <c r="AV42" s="34">
        <f>RTD("rtdtrading.rtdserver",, "SOMA3_B_0", "ABE")</f>
        <v>0</v>
      </c>
      <c r="AW42" s="34" t="str">
        <f t="shared" si="1"/>
        <v>NEUTRO</v>
      </c>
    </row>
    <row r="43" spans="1:49" x14ac:dyDescent="0.25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13"/>
      <c r="AB43" s="13"/>
      <c r="AC43" s="15"/>
      <c r="AD43" s="3"/>
      <c r="AE43" s="13" t="s">
        <v>58</v>
      </c>
      <c r="AF43" s="29">
        <f>RTD("srv.rtd","","PLAYERSRANKING","WINV25","8","SALDO","VOLFWITHFACTOR")</f>
        <v>-443755278</v>
      </c>
      <c r="AG43" s="12" t="s">
        <v>123</v>
      </c>
      <c r="AH43" s="19"/>
      <c r="AI43" s="3"/>
      <c r="AJ43" s="21"/>
      <c r="AK43" s="3"/>
      <c r="AL43" s="3"/>
      <c r="AM43" s="3"/>
      <c r="AN43" s="3"/>
      <c r="AO43" s="13" t="s">
        <v>248</v>
      </c>
      <c r="AP43" s="19">
        <f>RTD("rtdtrading.rtdserver",, "DI1N28_F_0", "VAR")/100</f>
        <v>-2.6375282592314931E-3</v>
      </c>
      <c r="AQ43" s="3" t="str">
        <f t="shared" si="3"/>
        <v>NEGATIVO</v>
      </c>
      <c r="AR43" s="3"/>
      <c r="AS43" s="12">
        <v>42</v>
      </c>
      <c r="AT43" s="12" t="s">
        <v>190</v>
      </c>
      <c r="AU43" s="34">
        <f>RTD("rtdtrading.rtdserver",, "HAPV3_B_0", "ULT")</f>
        <v>36.53</v>
      </c>
      <c r="AV43" s="34">
        <f>RTD("rtdtrading.rtdserver",, "HAPV3_B_0", "ABE")</f>
        <v>37.29</v>
      </c>
      <c r="AW43" s="34" t="str">
        <f t="shared" si="1"/>
        <v>NEGATIVO</v>
      </c>
    </row>
    <row r="44" spans="1:49" x14ac:dyDescent="0.25">
      <c r="A44" s="24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13"/>
      <c r="AB44" s="13"/>
      <c r="AC44" s="15"/>
      <c r="AD44" s="3"/>
      <c r="AE44" s="13" t="s">
        <v>59</v>
      </c>
      <c r="AF44" s="29">
        <f>RTD("srv.rtd","","PLAYERSRANKING","WINV25","40","SALDO","VOLFWITHFACTOR")</f>
        <v>-104243049</v>
      </c>
      <c r="AG44" s="12" t="s">
        <v>124</v>
      </c>
      <c r="AH44" s="19"/>
      <c r="AI44" s="3"/>
      <c r="AJ44" s="21"/>
      <c r="AK44" s="3"/>
      <c r="AL44" s="3"/>
      <c r="AM44" s="3"/>
      <c r="AN44" s="3"/>
      <c r="AO44" s="13" t="s">
        <v>249</v>
      </c>
      <c r="AP44" s="19">
        <f>RTD("rtdtrading.rtdserver",, "DI1N29_F_0", "VAR")/100</f>
        <v>-1.1273957158964556E-3</v>
      </c>
      <c r="AQ44" s="3" t="str">
        <f t="shared" si="3"/>
        <v>NEGATIVO</v>
      </c>
      <c r="AR44" s="3"/>
      <c r="AS44" s="12">
        <v>43</v>
      </c>
      <c r="AT44" s="12" t="s">
        <v>191</v>
      </c>
      <c r="AU44" s="34">
        <f>RTD("rtdtrading.rtdserver",, "HYPE3_B_0", "ULT")</f>
        <v>22.95</v>
      </c>
      <c r="AV44" s="34">
        <f>RTD("rtdtrading.rtdserver",, "HYPE3_B_0", "ABE")</f>
        <v>23.12</v>
      </c>
      <c r="AW44" s="34" t="str">
        <f t="shared" si="1"/>
        <v>NEGATIVO</v>
      </c>
    </row>
    <row r="45" spans="1:49" x14ac:dyDescent="0.25">
      <c r="A45" s="24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13"/>
      <c r="AB45" s="13"/>
      <c r="AC45" s="15"/>
      <c r="AD45" s="3"/>
      <c r="AE45" s="13"/>
      <c r="AF45" s="15"/>
      <c r="AG45" s="12" t="s">
        <v>125</v>
      </c>
      <c r="AH45" s="19"/>
      <c r="AI45" s="3"/>
      <c r="AJ45" s="21"/>
      <c r="AK45" s="3"/>
      <c r="AL45" s="3"/>
      <c r="AM45" s="3"/>
      <c r="AN45" s="3"/>
      <c r="AO45" s="13" t="s">
        <v>250</v>
      </c>
      <c r="AP45" s="19">
        <f>RTD("rtdtrading.rtdserver",, "DI1N30_F_0", "VAR")/100</f>
        <v>3.739715781599854E-4</v>
      </c>
      <c r="AQ45" s="3" t="str">
        <f t="shared" si="3"/>
        <v>POSITIVO</v>
      </c>
      <c r="AR45" s="3"/>
      <c r="AS45" s="12">
        <v>44</v>
      </c>
      <c r="AT45" s="12" t="s">
        <v>192</v>
      </c>
      <c r="AU45" s="34">
        <f>RTD("rtdtrading.rtdserver",, "IGTI11_B_0", "ULT")</f>
        <v>24.34</v>
      </c>
      <c r="AV45" s="34">
        <f>RTD("rtdtrading.rtdserver",, "IGTI11_B_0", "ABE")</f>
        <v>24.15</v>
      </c>
      <c r="AW45" s="34" t="str">
        <f t="shared" si="1"/>
        <v>POSITIVO</v>
      </c>
    </row>
    <row r="46" spans="1:49" x14ac:dyDescent="0.25">
      <c r="A46" s="24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13"/>
      <c r="AB46" s="13"/>
      <c r="AC46" s="15"/>
      <c r="AD46" s="3"/>
      <c r="AE46" s="13"/>
      <c r="AF46" s="15"/>
      <c r="AG46" s="12" t="s">
        <v>126</v>
      </c>
      <c r="AH46" s="19"/>
      <c r="AI46" s="3"/>
      <c r="AJ46" s="21"/>
      <c r="AK46" s="3"/>
      <c r="AL46" s="3"/>
      <c r="AM46" s="3"/>
      <c r="AN46" s="3"/>
      <c r="AO46" s="13" t="s">
        <v>251</v>
      </c>
      <c r="AP46" s="19">
        <f>RTD("rtdtrading.rtdserver",, "DI1Q26_F_0", "VAR")/100</f>
        <v>-2.4054982817869512E-3</v>
      </c>
      <c r="AQ46" s="3" t="str">
        <f t="shared" si="3"/>
        <v>NEGATIVO</v>
      </c>
      <c r="AR46" s="3"/>
      <c r="AS46" s="12">
        <v>45</v>
      </c>
      <c r="AT46" s="12" t="s">
        <v>193</v>
      </c>
      <c r="AU46" s="34">
        <f>RTD("rtdtrading.rtdserver",, "IRBR3_B_0", "ULT")</f>
        <v>46.95</v>
      </c>
      <c r="AV46" s="34">
        <f>RTD("rtdtrading.rtdserver",, "IRBR3_B_0", "ABE")</f>
        <v>46.5</v>
      </c>
      <c r="AW46" s="34" t="str">
        <f t="shared" si="1"/>
        <v>POSITIVO</v>
      </c>
    </row>
    <row r="47" spans="1:49" x14ac:dyDescent="0.25">
      <c r="A47" s="24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10" t="s">
        <v>110</v>
      </c>
      <c r="AB47" s="10" t="s">
        <v>111</v>
      </c>
      <c r="AC47" s="22" t="s">
        <v>112</v>
      </c>
      <c r="AD47" s="15"/>
      <c r="AE47" s="3"/>
      <c r="AF47" s="19">
        <f>SUM(AH38:AH46)</f>
        <v>0</v>
      </c>
      <c r="AG47" s="3"/>
      <c r="AH47" s="20">
        <f>SUM(AH38:AH46)</f>
        <v>0</v>
      </c>
      <c r="AI47" s="3"/>
      <c r="AJ47" s="21"/>
      <c r="AK47" s="3"/>
      <c r="AL47" s="3"/>
      <c r="AM47" s="3"/>
      <c r="AN47" s="3"/>
      <c r="AO47" s="13" t="s">
        <v>252</v>
      </c>
      <c r="AP47" s="19">
        <f>RTD("rtdtrading.rtdserver",, "DI1Q25_F_0", "VAR")/100</f>
        <v>0</v>
      </c>
      <c r="AQ47" s="3" t="str">
        <f t="shared" si="3"/>
        <v>NEUTRO</v>
      </c>
      <c r="AR47" s="3"/>
      <c r="AS47" s="12">
        <v>46</v>
      </c>
      <c r="AT47" s="12" t="s">
        <v>194</v>
      </c>
      <c r="AU47" s="34">
        <f>RTD("rtdtrading.rtdserver",, "ITSA4_B_0", "ULT")</f>
        <v>11.38</v>
      </c>
      <c r="AV47" s="34">
        <f>RTD("rtdtrading.rtdserver",, "ITSA4_B_0", "ABE")</f>
        <v>11.34</v>
      </c>
      <c r="AW47" s="34" t="str">
        <f t="shared" si="1"/>
        <v>POSITIVO</v>
      </c>
    </row>
    <row r="48" spans="1:49" x14ac:dyDescent="0.25">
      <c r="A48" s="24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13" t="s">
        <v>253</v>
      </c>
      <c r="AP48" s="19">
        <f>RTD("rtdtrading.rtdserver",, "DI1Q27_F_0", "VAR")/100</f>
        <v>-1.4727540500737372E-3</v>
      </c>
      <c r="AQ48" s="3" t="str">
        <f t="shared" si="3"/>
        <v>NEGATIVO</v>
      </c>
      <c r="AR48" s="3"/>
      <c r="AS48" s="12">
        <v>47</v>
      </c>
      <c r="AT48" s="12" t="s">
        <v>82</v>
      </c>
      <c r="AU48" s="34">
        <f>RTD("rtdtrading.rtdserver",, "ITUB4_B_0", "ULT")</f>
        <v>38.729999999999997</v>
      </c>
      <c r="AV48" s="34">
        <f>RTD("rtdtrading.rtdserver",, "ITUB4_B_0", "ABE")</f>
        <v>38.54</v>
      </c>
      <c r="AW48" s="34" t="str">
        <f t="shared" si="1"/>
        <v>POSITIVO</v>
      </c>
    </row>
    <row r="49" spans="1:49" x14ac:dyDescent="0.25">
      <c r="A49" s="24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13" t="s">
        <v>254</v>
      </c>
      <c r="AP49" s="19">
        <f>RTD("rtdtrading.rtdserver",, "DI1U25_F_0", "VAR")/100</f>
        <v>0</v>
      </c>
      <c r="AQ49" s="3" t="str">
        <f t="shared" si="3"/>
        <v>NEUTRO</v>
      </c>
      <c r="AR49" s="3"/>
      <c r="AS49" s="12">
        <v>48</v>
      </c>
      <c r="AT49" s="12" t="s">
        <v>195</v>
      </c>
      <c r="AU49" s="34">
        <f>RTD("rtdtrading.rtdserver",, "JBSS3_B_0", "ULT")</f>
        <v>0</v>
      </c>
      <c r="AV49" s="34">
        <f>RTD("rtdtrading.rtdserver",, "JBSS3_B_0", "ABE")</f>
        <v>0</v>
      </c>
      <c r="AW49" s="34" t="str">
        <f t="shared" si="1"/>
        <v>NEUTRO</v>
      </c>
    </row>
    <row r="50" spans="1:49" x14ac:dyDescent="0.25">
      <c r="A50" s="24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13" t="s">
        <v>255</v>
      </c>
      <c r="AP50" s="19">
        <f>RTD("rtdtrading.rtdserver",, "DI1U26_F_0", "VAR")/100</f>
        <v>-2.7672085783467791E-3</v>
      </c>
      <c r="AQ50" s="3" t="str">
        <f t="shared" si="3"/>
        <v>NEGATIVO</v>
      </c>
      <c r="AR50" s="3"/>
      <c r="AS50" s="12">
        <v>49</v>
      </c>
      <c r="AT50" s="12" t="s">
        <v>196</v>
      </c>
      <c r="AU50" s="34">
        <f>RTD("rtdtrading.rtdserver",, "KLBN11_B_0", "ULT")</f>
        <v>18.23</v>
      </c>
      <c r="AV50" s="34">
        <f>RTD("rtdtrading.rtdserver",, "KLBN11_B_0", "ABE")</f>
        <v>18.27</v>
      </c>
      <c r="AW50" s="34" t="str">
        <f t="shared" si="1"/>
        <v>NEGATIVO</v>
      </c>
    </row>
    <row r="51" spans="1:49" x14ac:dyDescent="0.25">
      <c r="A51" s="24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13" t="s">
        <v>256</v>
      </c>
      <c r="AP51" s="19">
        <f>RTD("rtdtrading.rtdserver",, "DI1V25_F_0", "VAR")/100</f>
        <v>-1.1918658342728464E-16</v>
      </c>
      <c r="AQ51" s="3" t="str">
        <f t="shared" si="3"/>
        <v>NEGATIVO</v>
      </c>
      <c r="AR51" s="3"/>
      <c r="AS51" s="12">
        <v>50</v>
      </c>
      <c r="AT51" s="12" t="s">
        <v>197</v>
      </c>
      <c r="AU51" s="34">
        <f>RTD("rtdtrading.rtdserver",, "RENT3_B_0", "ULT")</f>
        <v>40.19</v>
      </c>
      <c r="AV51" s="34">
        <f>RTD("rtdtrading.rtdserver",, "RENT3_B_0", "ABE")</f>
        <v>40</v>
      </c>
      <c r="AW51" s="34" t="str">
        <f t="shared" si="1"/>
        <v>POSITIVO</v>
      </c>
    </row>
    <row r="52" spans="1:49" x14ac:dyDescent="0.25">
      <c r="A52" s="24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13" t="s">
        <v>257</v>
      </c>
      <c r="AP52" s="19">
        <f>RTD("rtdtrading.rtdserver",, "DI1V26_F_0", "VAR")/100</f>
        <v>-2.4407252440726578E-3</v>
      </c>
      <c r="AQ52" s="3" t="str">
        <f t="shared" si="3"/>
        <v>NEGATIVO</v>
      </c>
      <c r="AR52" s="3"/>
      <c r="AS52" s="12">
        <v>51</v>
      </c>
      <c r="AT52" s="12" t="s">
        <v>198</v>
      </c>
      <c r="AU52" s="34">
        <f>RTD("rtdtrading.rtdserver",, "LREN3_B_0", "ULT")</f>
        <v>15.85</v>
      </c>
      <c r="AV52" s="34">
        <f>RTD("rtdtrading.rtdserver",, "LREN3_B_0", "ABE")</f>
        <v>15.84</v>
      </c>
      <c r="AW52" s="34" t="str">
        <f t="shared" si="1"/>
        <v>POSITIVO</v>
      </c>
    </row>
    <row r="53" spans="1:49" x14ac:dyDescent="0.25">
      <c r="A53" s="24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13" t="s">
        <v>258</v>
      </c>
      <c r="AP53" s="19">
        <f>RTD("rtdtrading.rtdserver",, "DI1V27_F_0", "VAR")/100</f>
        <v>-3.6995930447651284E-3</v>
      </c>
      <c r="AQ53" s="3" t="str">
        <f t="shared" si="3"/>
        <v>NEGATIVO</v>
      </c>
      <c r="AR53" s="3"/>
      <c r="AS53" s="12">
        <v>52</v>
      </c>
      <c r="AT53" s="12" t="s">
        <v>199</v>
      </c>
      <c r="AU53" s="34">
        <f>RTD("rtdtrading.rtdserver",, "LWSA3_B_0", "ULT")</f>
        <v>4.47</v>
      </c>
      <c r="AV53" s="34">
        <f>RTD("rtdtrading.rtdserver",, "LWSA3_B_0", "ABE")</f>
        <v>4.3899999999999997</v>
      </c>
      <c r="AW53" s="34" t="str">
        <f t="shared" si="1"/>
        <v>POSITIVO</v>
      </c>
    </row>
    <row r="54" spans="1:49" x14ac:dyDescent="0.25">
      <c r="A54" s="24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13" t="s">
        <v>259</v>
      </c>
      <c r="AP54" s="19">
        <f>RTD("rtdtrading.rtdserver",, "DI1V28_F_0", "VAR")/100</f>
        <v>-3.7750094375241835E-4</v>
      </c>
      <c r="AQ54" s="3" t="str">
        <f t="shared" si="3"/>
        <v>NEGATIVO</v>
      </c>
      <c r="AR54" s="3"/>
      <c r="AS54" s="12">
        <v>53</v>
      </c>
      <c r="AT54" s="12" t="s">
        <v>200</v>
      </c>
      <c r="AU54" s="34">
        <f>RTD("rtdtrading.rtdserver",, "MGLU3_B_0", "ULT")</f>
        <v>11.2</v>
      </c>
      <c r="AV54" s="34">
        <f>RTD("rtdtrading.rtdserver",, "MGLU3_B_0", "ABE")</f>
        <v>11.16</v>
      </c>
      <c r="AW54" s="34" t="str">
        <f t="shared" si="1"/>
        <v>POSITIVO</v>
      </c>
    </row>
    <row r="55" spans="1:49" x14ac:dyDescent="0.25">
      <c r="A55" s="24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13" t="s">
        <v>260</v>
      </c>
      <c r="AP55" s="19">
        <f>RTD("rtdtrading.rtdserver",, "DI1V29_F_0", "VAR")/100</f>
        <v>-1.1261261261261688E-3</v>
      </c>
      <c r="AQ55" s="3" t="str">
        <f t="shared" si="3"/>
        <v>NEGATIVO</v>
      </c>
      <c r="AR55" s="3"/>
      <c r="AS55" s="12">
        <v>54</v>
      </c>
      <c r="AT55" s="12" t="s">
        <v>201</v>
      </c>
      <c r="AU55" s="34">
        <f>RTD("rtdtrading.rtdserver",, "MRFG3_B_0", "ULT")</f>
        <v>21.12</v>
      </c>
      <c r="AV55" s="34">
        <f>RTD("rtdtrading.rtdserver",, "MRFG3_B_0", "ABE")</f>
        <v>22.14</v>
      </c>
      <c r="AW55" s="34" t="str">
        <f t="shared" si="1"/>
        <v>NEGATIVO</v>
      </c>
    </row>
    <row r="56" spans="1:49" x14ac:dyDescent="0.25">
      <c r="A56" s="24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13" t="s">
        <v>261</v>
      </c>
      <c r="AP56" s="19">
        <f>RTD("rtdtrading.rtdserver",, "DI1V30_F_0", "VAR")/100</f>
        <v>0</v>
      </c>
      <c r="AQ56" s="3" t="str">
        <f t="shared" si="3"/>
        <v>NEUTRO</v>
      </c>
      <c r="AR56" s="3"/>
      <c r="AS56" s="12">
        <v>55</v>
      </c>
      <c r="AT56" s="12" t="s">
        <v>202</v>
      </c>
      <c r="AU56" s="34">
        <f>RTD("rtdtrading.rtdserver",, "BEEF3_B_0", "ULT")</f>
        <v>6.49</v>
      </c>
      <c r="AV56" s="34">
        <f>RTD("rtdtrading.rtdserver",, "BEEF3_B_0", "ABE")</f>
        <v>6.44</v>
      </c>
      <c r="AW56" s="34" t="str">
        <f t="shared" si="1"/>
        <v>POSITIVO</v>
      </c>
    </row>
    <row r="57" spans="1:49" x14ac:dyDescent="0.25">
      <c r="A57" s="24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13" t="s">
        <v>262</v>
      </c>
      <c r="AP57" s="19">
        <f>RTD("rtdtrading.rtdserver",, "DI1X25_F_0", "VAR")/100</f>
        <v>-1.1920257947928132E-16</v>
      </c>
      <c r="AQ57" s="3" t="str">
        <f t="shared" si="3"/>
        <v>NEGATIVO</v>
      </c>
      <c r="AR57" s="3"/>
      <c r="AS57" s="12">
        <v>56</v>
      </c>
      <c r="AT57" s="12" t="s">
        <v>203</v>
      </c>
      <c r="AU57" s="34">
        <f>RTD("rtdtrading.rtdserver",, "MRVE3_B_0", "ULT")</f>
        <v>7.35</v>
      </c>
      <c r="AV57" s="34">
        <f>RTD("rtdtrading.rtdserver",, "MRVE3_B_0", "ABE")</f>
        <v>7.49</v>
      </c>
      <c r="AW57" s="34" t="str">
        <f t="shared" si="1"/>
        <v>NEGATIVO</v>
      </c>
    </row>
    <row r="58" spans="1:49" x14ac:dyDescent="0.25">
      <c r="A58" s="24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13" t="s">
        <v>263</v>
      </c>
      <c r="AP58" s="19">
        <f>RTD("rtdtrading.rtdserver",, "DI1Z25_F_0", "VAR")/100</f>
        <v>3.3561551886152535E-4</v>
      </c>
      <c r="AQ58" s="3" t="str">
        <f t="shared" si="3"/>
        <v>POSITIVO</v>
      </c>
      <c r="AR58" s="3"/>
      <c r="AS58" s="12">
        <v>57</v>
      </c>
      <c r="AT58" s="12" t="s">
        <v>204</v>
      </c>
      <c r="AU58" s="34">
        <f>RTD("rtdtrading.rtdserver",, "MULT3_B_0", "ULT")</f>
        <v>29.04</v>
      </c>
      <c r="AV58" s="34">
        <f>RTD("rtdtrading.rtdserver",, "MULT3_B_0", "ABE")</f>
        <v>28.87</v>
      </c>
      <c r="AW58" s="34" t="str">
        <f t="shared" si="1"/>
        <v>POSITIVO</v>
      </c>
    </row>
    <row r="59" spans="1:49" x14ac:dyDescent="0.25">
      <c r="A59" s="24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13" t="s">
        <v>264</v>
      </c>
      <c r="AP59" s="19">
        <f>RTD("rtdtrading.rtdserver",, "DI1Z26_F_0", "VAR")/100</f>
        <v>-2.11864406779669E-3</v>
      </c>
      <c r="AQ59" s="3" t="str">
        <f t="shared" si="3"/>
        <v>NEGATIVO</v>
      </c>
      <c r="AR59" s="3"/>
      <c r="AS59" s="12">
        <v>58</v>
      </c>
      <c r="AT59" s="12" t="s">
        <v>205</v>
      </c>
      <c r="AU59" s="34">
        <f>RTD("rtdtrading.rtdserver",, "PCAR3_B_0", "ULT")</f>
        <v>4.3099999999999996</v>
      </c>
      <c r="AV59" s="34">
        <f>RTD("rtdtrading.rtdserver",, "PCAR3_B_0", "ABE")</f>
        <v>4.25</v>
      </c>
      <c r="AW59" s="34" t="str">
        <f t="shared" si="1"/>
        <v>POSITIVO</v>
      </c>
    </row>
    <row r="60" spans="1:49" x14ac:dyDescent="0.25">
      <c r="A60" s="24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13" t="s">
        <v>113</v>
      </c>
      <c r="AP60" s="37">
        <f>SUM(AP17:AP59)</f>
        <v>-3.8548053848737482E-2</v>
      </c>
      <c r="AQ60" s="3"/>
      <c r="AR60" s="3"/>
      <c r="AS60" s="12">
        <v>59</v>
      </c>
      <c r="AT60" s="12" t="s">
        <v>81</v>
      </c>
      <c r="AU60" s="34">
        <f>RTD("rtdtrading.rtdserver",, "PETR3_B_0", "ULT")</f>
        <v>35.01</v>
      </c>
      <c r="AV60" s="34">
        <f>RTD("rtdtrading.rtdserver",, "PETR3_B_0", "ABE")</f>
        <v>35.32</v>
      </c>
      <c r="AW60" s="34" t="str">
        <f t="shared" si="1"/>
        <v>NEGATIVO</v>
      </c>
    </row>
    <row r="61" spans="1:49" x14ac:dyDescent="0.25">
      <c r="A61" s="24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12">
        <v>60</v>
      </c>
      <c r="AT61" s="12" t="s">
        <v>80</v>
      </c>
      <c r="AU61" s="34">
        <f>RTD("rtdtrading.rtdserver",, "PETR4_B_0", "ULT")</f>
        <v>32.31</v>
      </c>
      <c r="AV61" s="34">
        <f>RTD("rtdtrading.rtdserver",, "PETR4_B_0", "ABE")</f>
        <v>32.49</v>
      </c>
      <c r="AW61" s="34" t="str">
        <f t="shared" si="1"/>
        <v>NEGATIVO</v>
      </c>
    </row>
    <row r="62" spans="1:49" x14ac:dyDescent="0.25">
      <c r="A62" s="24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12">
        <v>61</v>
      </c>
      <c r="AT62" s="12" t="s">
        <v>206</v>
      </c>
      <c r="AU62" s="34">
        <f>RTD("rtdtrading.rtdserver",, "RECV3_B_0", "ULT")</f>
        <v>13.04</v>
      </c>
      <c r="AV62" s="34">
        <f>RTD("rtdtrading.rtdserver",, "RECV3_B_0", "ABE")</f>
        <v>13.1</v>
      </c>
      <c r="AW62" s="34" t="str">
        <f t="shared" si="1"/>
        <v>NEGATIVO</v>
      </c>
    </row>
    <row r="63" spans="1:49" x14ac:dyDescent="0.25">
      <c r="A63" s="24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12">
        <v>62</v>
      </c>
      <c r="AT63" s="12" t="s">
        <v>207</v>
      </c>
      <c r="AU63" s="34">
        <f>RTD("rtdtrading.rtdserver",, "PRIO3_B_0", "ULT")</f>
        <v>39.340000000000003</v>
      </c>
      <c r="AV63" s="34">
        <f>RTD("rtdtrading.rtdserver",, "PRIO3_B_0", "ABE")</f>
        <v>39.04</v>
      </c>
      <c r="AW63" s="34" t="str">
        <f t="shared" si="1"/>
        <v>POSITIVO</v>
      </c>
    </row>
    <row r="64" spans="1:49" x14ac:dyDescent="0.25">
      <c r="A64" s="24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12">
        <v>63</v>
      </c>
      <c r="AT64" s="12" t="s">
        <v>208</v>
      </c>
      <c r="AU64" s="34">
        <f>RTD("rtdtrading.rtdserver",, "PETZ3_B_0", "ULT")</f>
        <v>3.78</v>
      </c>
      <c r="AV64" s="34">
        <f>RTD("rtdtrading.rtdserver",, "PETZ3_B_0", "ABE")</f>
        <v>3.8</v>
      </c>
      <c r="AW64" s="34" t="str">
        <f t="shared" si="1"/>
        <v>NEGATIVO</v>
      </c>
    </row>
    <row r="65" spans="1:49" x14ac:dyDescent="0.25">
      <c r="A65" s="24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12">
        <v>64</v>
      </c>
      <c r="AT65" s="12" t="s">
        <v>209</v>
      </c>
      <c r="AU65" s="34">
        <f>RTD("rtdtrading.rtdserver",, "RADL3_B_0", "ULT")</f>
        <v>17.84</v>
      </c>
      <c r="AV65" s="34">
        <f>RTD("rtdtrading.rtdserver",, "RADL3_B_0", "ABE")</f>
        <v>17.850000000000001</v>
      </c>
      <c r="AW65" s="34" t="str">
        <f t="shared" si="1"/>
        <v>NEGATIVO</v>
      </c>
    </row>
    <row r="66" spans="1:49" x14ac:dyDescent="0.25">
      <c r="A66" s="24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12">
        <v>65</v>
      </c>
      <c r="AT66" s="12" t="s">
        <v>210</v>
      </c>
      <c r="AU66" s="34">
        <f>RTD("rtdtrading.rtdserver",, "RAIZ4_B_0", "ULT")</f>
        <v>1.02</v>
      </c>
      <c r="AV66" s="34">
        <f>RTD("rtdtrading.rtdserver",, "RAIZ4_B_0", "ABE")</f>
        <v>1.04</v>
      </c>
      <c r="AW66" s="34" t="str">
        <f t="shared" si="1"/>
        <v>NEGATIVO</v>
      </c>
    </row>
    <row r="67" spans="1:49" x14ac:dyDescent="0.25">
      <c r="A67" s="24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12">
        <v>66</v>
      </c>
      <c r="AT67" s="12" t="s">
        <v>211</v>
      </c>
      <c r="AU67" s="34">
        <f>RTD("rtdtrading.rtdserver",, "RDOR3_B_0", "ULT")</f>
        <v>41.15</v>
      </c>
      <c r="AV67" s="34">
        <f>RTD("rtdtrading.rtdserver",, "RDOR3_B_0", "ABE")</f>
        <v>41.3</v>
      </c>
      <c r="AW67" s="34" t="str">
        <f t="shared" ref="AW67:AW87" si="4">IF(AU67&gt;AV67,"POSITIVO",IF(AU67&lt;AV67,"NEGATIVO",IF(AU67=AV67,"NEUTRO")))</f>
        <v>NEGATIVO</v>
      </c>
    </row>
    <row r="68" spans="1:49" x14ac:dyDescent="0.25">
      <c r="A68" s="24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12">
        <v>67</v>
      </c>
      <c r="AT68" s="12" t="s">
        <v>212</v>
      </c>
      <c r="AU68" s="34">
        <f>RTD("rtdtrading.rtdserver",, "RAIL3_B_0", "ULT")</f>
        <v>15.31</v>
      </c>
      <c r="AV68" s="34">
        <f>RTD("rtdtrading.rtdserver",, "RAIL3_B_0", "ABE")</f>
        <v>15.2</v>
      </c>
      <c r="AW68" s="34" t="str">
        <f t="shared" si="4"/>
        <v>POSITIVO</v>
      </c>
    </row>
    <row r="69" spans="1:49" x14ac:dyDescent="0.25">
      <c r="A69" s="24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12">
        <v>68</v>
      </c>
      <c r="AT69" s="12" t="s">
        <v>213</v>
      </c>
      <c r="AU69" s="34">
        <f>RTD("rtdtrading.rtdserver",, "SBSP3_B_0", "ULT")</f>
        <v>128.21</v>
      </c>
      <c r="AV69" s="34">
        <f>RTD("rtdtrading.rtdserver",, "SBSP3_B_0", "ABE")</f>
        <v>130</v>
      </c>
      <c r="AW69" s="34" t="str">
        <f t="shared" si="4"/>
        <v>NEGATIVO</v>
      </c>
    </row>
    <row r="70" spans="1:49" x14ac:dyDescent="0.25">
      <c r="A70" s="24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12">
        <v>69</v>
      </c>
      <c r="AT70" s="12" t="s">
        <v>214</v>
      </c>
      <c r="AU70" s="34">
        <f>RTD("rtdtrading.rtdserver",, "SANB11_B_0", "ULT")</f>
        <v>29.17</v>
      </c>
      <c r="AV70" s="34">
        <f>RTD("rtdtrading.rtdserver",, "SANB11_B_0", "ABE")</f>
        <v>28.58</v>
      </c>
      <c r="AW70" s="34" t="str">
        <f t="shared" si="4"/>
        <v>POSITIVO</v>
      </c>
    </row>
    <row r="71" spans="1:49" x14ac:dyDescent="0.25">
      <c r="A71" s="24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12">
        <v>70</v>
      </c>
      <c r="AT71" s="12" t="s">
        <v>215</v>
      </c>
      <c r="AU71" s="34">
        <f>RTD("rtdtrading.rtdserver",, "SMTO3_B_0", "ULT")</f>
        <v>17.87</v>
      </c>
      <c r="AV71" s="34">
        <f>RTD("rtdtrading.rtdserver",, "SMTO3_B_0", "ABE")</f>
        <v>17.920000000000002</v>
      </c>
      <c r="AW71" s="34" t="str">
        <f t="shared" si="4"/>
        <v>NEGATIVO</v>
      </c>
    </row>
    <row r="72" spans="1:49" x14ac:dyDescent="0.25">
      <c r="A72" s="24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12">
        <v>71</v>
      </c>
      <c r="AT72" s="12" t="s">
        <v>216</v>
      </c>
      <c r="AU72" s="34">
        <f>RTD("rtdtrading.rtdserver",, "CSNA3_B_0", "ULT")</f>
        <v>7.99</v>
      </c>
      <c r="AV72" s="34">
        <f>RTD("rtdtrading.rtdserver",, "CSNA3_B_0", "ABE")</f>
        <v>8</v>
      </c>
      <c r="AW72" s="34" t="str">
        <f t="shared" si="4"/>
        <v>NEGATIVO</v>
      </c>
    </row>
    <row r="73" spans="1:49" x14ac:dyDescent="0.25">
      <c r="A73" s="24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12">
        <v>72</v>
      </c>
      <c r="AT73" s="12" t="s">
        <v>217</v>
      </c>
      <c r="AU73" s="34">
        <f>RTD("rtdtrading.rtdserver",, "SLCE3_B_0", "ULT")</f>
        <v>16.61</v>
      </c>
      <c r="AV73" s="34">
        <f>RTD("rtdtrading.rtdserver",, "SLCE3_B_0", "ABE")</f>
        <v>16.510000000000002</v>
      </c>
      <c r="AW73" s="34" t="str">
        <f t="shared" si="4"/>
        <v>POSITIVO</v>
      </c>
    </row>
    <row r="74" spans="1:49" x14ac:dyDescent="0.25">
      <c r="A74" s="24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12">
        <v>73</v>
      </c>
      <c r="AT74" s="12" t="s">
        <v>218</v>
      </c>
      <c r="AU74" s="34">
        <f>RTD("rtdtrading.rtdserver",, "SUZB3_B_0", "ULT")</f>
        <v>49.73</v>
      </c>
      <c r="AV74" s="34">
        <f>RTD("rtdtrading.rtdserver",, "SUZB3_B_0", "ABE")</f>
        <v>50.3</v>
      </c>
      <c r="AW74" s="34" t="str">
        <f t="shared" si="4"/>
        <v>NEGATIVO</v>
      </c>
    </row>
    <row r="75" spans="1:49" x14ac:dyDescent="0.25">
      <c r="A75" s="24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12">
        <v>74</v>
      </c>
      <c r="AT75" s="12" t="s">
        <v>219</v>
      </c>
      <c r="AU75" s="34">
        <f>RTD("rtdtrading.rtdserver",, "TAEE11_B_0", "ULT")</f>
        <v>36.35</v>
      </c>
      <c r="AV75" s="34">
        <f>RTD("rtdtrading.rtdserver",, "TAEE11_B_0", "ABE")</f>
        <v>36.15</v>
      </c>
      <c r="AW75" s="34" t="str">
        <f t="shared" si="4"/>
        <v>POSITIVO</v>
      </c>
    </row>
    <row r="76" spans="1:49" x14ac:dyDescent="0.25">
      <c r="A76" s="24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12">
        <v>75</v>
      </c>
      <c r="AT76" s="12" t="s">
        <v>220</v>
      </c>
      <c r="AU76" s="34">
        <f>RTD("rtdtrading.rtdserver",, "VIVT3_B_0", "ULT")</f>
        <v>32.79</v>
      </c>
      <c r="AV76" s="34">
        <f>RTD("rtdtrading.rtdserver",, "VIVT3_B_0", "ABE")</f>
        <v>33.06</v>
      </c>
      <c r="AW76" s="34" t="str">
        <f t="shared" si="4"/>
        <v>NEGATIVO</v>
      </c>
    </row>
    <row r="77" spans="1:49" x14ac:dyDescent="0.25">
      <c r="A77" s="24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12">
        <v>76</v>
      </c>
      <c r="AT77" s="12" t="s">
        <v>221</v>
      </c>
      <c r="AU77" s="34">
        <f>RTD("rtdtrading.rtdserver",, "TIMS3_B_0", "ULT")</f>
        <v>22.93</v>
      </c>
      <c r="AV77" s="34">
        <f>RTD("rtdtrading.rtdserver",, "TIMS3_B_0", "ABE")</f>
        <v>23.02</v>
      </c>
      <c r="AW77" s="34" t="str">
        <f t="shared" si="4"/>
        <v>NEGATIVO</v>
      </c>
    </row>
    <row r="78" spans="1:49" x14ac:dyDescent="0.25">
      <c r="A78" s="24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12">
        <v>77</v>
      </c>
      <c r="AT78" s="12" t="s">
        <v>222</v>
      </c>
      <c r="AU78" s="34">
        <f>RTD("rtdtrading.rtdserver",, "TOTS3_B_0", "ULT")</f>
        <v>45.2</v>
      </c>
      <c r="AV78" s="34">
        <f>RTD("rtdtrading.rtdserver",, "TOTS3_B_0", "ABE")</f>
        <v>45.89</v>
      </c>
      <c r="AW78" s="34" t="str">
        <f t="shared" si="4"/>
        <v>NEGATIVO</v>
      </c>
    </row>
    <row r="79" spans="1:49" x14ac:dyDescent="0.25">
      <c r="A79" s="24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12">
        <v>78</v>
      </c>
      <c r="AT79" s="12" t="s">
        <v>223</v>
      </c>
      <c r="AU79" s="34">
        <f>RTD("rtdtrading.rtdserver",, "TRPL4_B_0", "ULT")</f>
        <v>0</v>
      </c>
      <c r="AV79" s="34">
        <f>RTD("rtdtrading.rtdserver",, "TRPL4_B_0", "ABE")</f>
        <v>0</v>
      </c>
      <c r="AW79" s="34" t="str">
        <f t="shared" si="4"/>
        <v>NEUTRO</v>
      </c>
    </row>
    <row r="80" spans="1:49" x14ac:dyDescent="0.25">
      <c r="A80" s="24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12">
        <v>79</v>
      </c>
      <c r="AT80" s="12" t="s">
        <v>224</v>
      </c>
      <c r="AU80" s="34">
        <f>RTD("rtdtrading.rtdserver",, "UGPA3_B_0", "ULT")</f>
        <v>21.35</v>
      </c>
      <c r="AV80" s="34">
        <f>RTD("rtdtrading.rtdserver",, "UGPA3_B_0", "ABE")</f>
        <v>21.6</v>
      </c>
      <c r="AW80" s="34" t="str">
        <f t="shared" si="4"/>
        <v>NEGATIVO</v>
      </c>
    </row>
    <row r="81" spans="1:49" x14ac:dyDescent="0.25">
      <c r="A81" s="24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12">
        <v>80</v>
      </c>
      <c r="AT81" s="12" t="s">
        <v>225</v>
      </c>
      <c r="AU81" s="34">
        <f>RTD("rtdtrading.rtdserver",, "USIM5_B_0", "ULT")</f>
        <v>4.42</v>
      </c>
      <c r="AV81" s="34">
        <f>RTD("rtdtrading.rtdserver",, "USIM5_B_0", "ABE")</f>
        <v>4.47</v>
      </c>
      <c r="AW81" s="34" t="str">
        <f t="shared" si="4"/>
        <v>NEGATIVO</v>
      </c>
    </row>
    <row r="82" spans="1:49" x14ac:dyDescent="0.25">
      <c r="A82" s="24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12">
        <v>81</v>
      </c>
      <c r="AT82" s="12" t="s">
        <v>83</v>
      </c>
      <c r="AU82" s="34">
        <f>RTD("rtdtrading.rtdserver",, "VALE3_B_0", "ULT")</f>
        <v>56.88</v>
      </c>
      <c r="AV82" s="34">
        <f>RTD("rtdtrading.rtdserver",, "VALE3_B_0", "ABE")</f>
        <v>57.74</v>
      </c>
      <c r="AW82" s="34" t="str">
        <f t="shared" si="4"/>
        <v>NEGATIVO</v>
      </c>
    </row>
    <row r="83" spans="1:49" x14ac:dyDescent="0.25">
      <c r="A83" s="24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12">
        <v>82</v>
      </c>
      <c r="AT83" s="12" t="s">
        <v>226</v>
      </c>
      <c r="AU83" s="34">
        <f>RTD("rtdtrading.rtdserver",, "VAMO3_B_0", "ULT")</f>
        <v>3.68</v>
      </c>
      <c r="AV83" s="34">
        <f>RTD("rtdtrading.rtdserver",, "VAMO3_B_0", "ABE")</f>
        <v>3.6</v>
      </c>
      <c r="AW83" s="34" t="str">
        <f t="shared" si="4"/>
        <v>POSITIVO</v>
      </c>
    </row>
    <row r="84" spans="1:49" x14ac:dyDescent="0.25">
      <c r="A84" s="24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12">
        <v>83</v>
      </c>
      <c r="AT84" s="12" t="s">
        <v>227</v>
      </c>
      <c r="AU84" s="34">
        <f>RTD("rtdtrading.rtdserver",, "VBBR3_B_0", "ULT")</f>
        <v>24.34</v>
      </c>
      <c r="AV84" s="34">
        <f>RTD("rtdtrading.rtdserver",, "VBBR3_B_0", "ABE")</f>
        <v>24.15</v>
      </c>
      <c r="AW84" s="34" t="str">
        <f t="shared" si="4"/>
        <v>POSITIVO</v>
      </c>
    </row>
    <row r="85" spans="1:49" x14ac:dyDescent="0.25">
      <c r="A85" s="24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12">
        <v>84</v>
      </c>
      <c r="AT85" s="12" t="s">
        <v>86</v>
      </c>
      <c r="AU85" s="34">
        <f>RTD("rtdtrading.rtdserver",, "WEGE3_B_0", "ULT")</f>
        <v>36.479999999999997</v>
      </c>
      <c r="AV85" s="34">
        <f>RTD("rtdtrading.rtdserver",, "WEGE3_B_0", "ABE")</f>
        <v>36.49</v>
      </c>
      <c r="AW85" s="34" t="str">
        <f t="shared" si="4"/>
        <v>NEGATIVO</v>
      </c>
    </row>
    <row r="86" spans="1:49" x14ac:dyDescent="0.25">
      <c r="A86" s="24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12">
        <v>85</v>
      </c>
      <c r="AT86" s="12" t="s">
        <v>228</v>
      </c>
      <c r="AU86" s="34">
        <f>RTD("rtdtrading.rtdserver",, "YDUQ3_B_0", "ULT")</f>
        <v>12.87</v>
      </c>
      <c r="AV86" s="34">
        <f>RTD("rtdtrading.rtdserver",, "YDUQ3_B_0", "ABE")</f>
        <v>12.66</v>
      </c>
      <c r="AW86" s="34" t="str">
        <f t="shared" si="4"/>
        <v>POSITIVO</v>
      </c>
    </row>
    <row r="87" spans="1:49" x14ac:dyDescent="0.25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12">
        <v>86</v>
      </c>
      <c r="AT87" s="12" t="s">
        <v>229</v>
      </c>
      <c r="AU87" s="34">
        <f>RTD("rtdtrading.rtdserver",, "VIVA3_B_0", "ULT")</f>
        <v>28.39</v>
      </c>
      <c r="AV87" s="34">
        <f>RTD("rtdtrading.rtdserver",, "VIVA3_B_0", "ABE")</f>
        <v>28.42</v>
      </c>
      <c r="AW87" s="34" t="str">
        <f t="shared" si="4"/>
        <v>NEGATIVO</v>
      </c>
    </row>
    <row r="88" spans="1:49" ht="15.75" x14ac:dyDescent="0.25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B88" s="46"/>
      <c r="AC88" s="47" t="s">
        <v>108</v>
      </c>
      <c r="AD88" s="46"/>
      <c r="AE88" s="46"/>
      <c r="AF88" s="47" t="s">
        <v>109</v>
      </c>
      <c r="AG88" s="48" t="s">
        <v>149</v>
      </c>
      <c r="AH88" s="48" t="s">
        <v>150</v>
      </c>
      <c r="AI88" s="49" t="s">
        <v>280</v>
      </c>
      <c r="AJ88" s="46"/>
    </row>
    <row r="89" spans="1:49" ht="15.75" x14ac:dyDescent="0.25">
      <c r="A89" s="24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  <c r="AB89" s="4" t="s">
        <v>66</v>
      </c>
      <c r="AC89" s="43">
        <f>SUM(AC98,AC104,AC113,AC118,AC122,AC126,AC127,AC128,AC130,AC131)</f>
        <v>650736750</v>
      </c>
      <c r="AD89" s="3"/>
      <c r="AE89" s="4" t="s">
        <v>66</v>
      </c>
      <c r="AF89" s="43">
        <f>SUM(AF98,AF104,AF113,AF118,AF122,AF126,AF127,AF128,AF130,AF131)</f>
        <v>2631893235</v>
      </c>
      <c r="AG89" s="23" t="s">
        <v>148</v>
      </c>
      <c r="AH89" s="26">
        <f>RTD("rtdtrading.rtdserver",, "EWZ_N_0", "VAR")/100</f>
        <v>4.0876389797253106E-3</v>
      </c>
      <c r="AI89" s="31" t="s">
        <v>4</v>
      </c>
      <c r="AJ89" s="32">
        <f>RTD("rtdtrading.rtdserver",, "DI1F27_F_0", "VAR")/100</f>
        <v>-3.1982942430703572E-3</v>
      </c>
    </row>
    <row r="90" spans="1:49" ht="15.75" x14ac:dyDescent="0.25">
      <c r="A90" s="24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  <c r="AB90" s="4" t="s">
        <v>75</v>
      </c>
      <c r="AC90" s="44">
        <f>SUM(AC96,AC97,AC99,AC100,AC103,AC105,AC119,AC124)</f>
        <v>-831528375</v>
      </c>
      <c r="AD90" s="3"/>
      <c r="AE90" s="4" t="s">
        <v>75</v>
      </c>
      <c r="AF90" s="44">
        <f>SUM(AF96,AF97,AF99,AF100,AF103,AF105,AF119,AF124)</f>
        <v>362566805</v>
      </c>
      <c r="AG90" s="23" t="s">
        <v>147</v>
      </c>
      <c r="AH90" s="26">
        <f>RTD("srv.rtd","","SQT","SP500-CFD","VAR")/100</f>
        <v>5.7928269480007595E-3</v>
      </c>
      <c r="AI90" s="31" t="s">
        <v>5</v>
      </c>
      <c r="AJ90" s="32">
        <f>RTD("rtdtrading.rtdserver",, "DI1F28_F_0", "VAR")/100</f>
        <v>-2.618780396558185E-3</v>
      </c>
    </row>
    <row r="91" spans="1:49" ht="15.75" x14ac:dyDescent="0.25">
      <c r="A91" s="24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  <c r="AB91" s="4" t="s">
        <v>107</v>
      </c>
      <c r="AC91" s="43">
        <f>SUM(AC95,AC101,AC104,AC108,AC112,AC113,AC125,AC126,AC131,AC130,AC128)</f>
        <v>548601500</v>
      </c>
      <c r="AD91" s="3"/>
      <c r="AE91" s="4" t="s">
        <v>107</v>
      </c>
      <c r="AF91" s="43">
        <f>SUM(AF95,AF101,AF104,AF108,AF112,AF113,AF125,AF126,AF127,AF128,AF130,AF131)</f>
        <v>1935686925</v>
      </c>
      <c r="AG91" s="23" t="s">
        <v>146</v>
      </c>
      <c r="AH91" s="26">
        <f>RTD("srv.rtd","","SQT","DJIA-CFD","VAR")/100</f>
        <v>7.86291779368198E-3</v>
      </c>
      <c r="AI91" s="31" t="s">
        <v>6</v>
      </c>
      <c r="AJ91" s="32">
        <f>RTD("rtdtrading.rtdserver",, "DI1F29_F_0", "VAR")/100</f>
        <v>-1.5094339622642526E-3</v>
      </c>
    </row>
    <row r="92" spans="1:49" ht="15.75" x14ac:dyDescent="0.25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  <c r="AB92" s="4" t="s">
        <v>133</v>
      </c>
      <c r="AC92" s="45">
        <f>SUM(AC94,AC102,AC106,AC107,AC109,AC110,AC111,AC114,AC115,AC116,AC117,AC120,AC121,AC123,AC129)</f>
        <v>-463655750</v>
      </c>
      <c r="AD92" s="3"/>
      <c r="AE92" s="4" t="s">
        <v>133</v>
      </c>
      <c r="AF92" s="45">
        <f>SUM(AF94,AF102,AF106,AF107,AF109,AF110,AF111,AF114,AF115,AF116,AF117,AF120,AF121,AF123,AF129)</f>
        <v>-902400805</v>
      </c>
      <c r="AG92" s="23" t="s">
        <v>145</v>
      </c>
      <c r="AH92" s="26">
        <f>RTD("srv.rtd","","SQT","NASDAQ-CFD","VAR")/100</f>
        <v>3.8737604991208002E-3</v>
      </c>
      <c r="AI92" s="31" t="s">
        <v>7</v>
      </c>
      <c r="AJ92" s="32">
        <f>RTD("rtdtrading.rtdserver",, "DI1F30_F_0", "VAR")/100</f>
        <v>-1.1240164855751643E-3</v>
      </c>
    </row>
    <row r="93" spans="1:49" ht="15.75" x14ac:dyDescent="0.25">
      <c r="A93" s="24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B93" s="2"/>
      <c r="AC93" s="3"/>
      <c r="AD93" s="3"/>
      <c r="AE93" s="2"/>
      <c r="AF93" s="3"/>
      <c r="AG93" s="23" t="s">
        <v>113</v>
      </c>
      <c r="AH93" s="26">
        <f>SUM(AH89:AH92)</f>
        <v>2.1617144220528853E-2</v>
      </c>
      <c r="AI93" s="31" t="s">
        <v>8</v>
      </c>
      <c r="AJ93" s="32">
        <f>RTD("rtdtrading.rtdserver",, "DI1F31_F_0", "VAR")/100</f>
        <v>1.4914243102160921E-3</v>
      </c>
    </row>
    <row r="94" spans="1:49" ht="15.75" x14ac:dyDescent="0.25">
      <c r="A94" s="24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B94" s="13" t="s">
        <v>25</v>
      </c>
      <c r="AC94" s="7" t="str">
        <f>RTD("srv.rtd","","PLAYERSRANKING","DOLV25","15","SALDO","VOLFWITHFACTOR")</f>
        <v>0</v>
      </c>
      <c r="AD94" s="3"/>
      <c r="AE94" s="13" t="s">
        <v>25</v>
      </c>
      <c r="AF94" s="7" t="str">
        <f>RTD("srv.rtd","","PLAYERSRANKING","WDOV25","15","SALDO","VOLFWITHFACTOR")</f>
        <v>0</v>
      </c>
      <c r="AG94" s="48" t="s">
        <v>67</v>
      </c>
      <c r="AH94" s="48" t="s">
        <v>152</v>
      </c>
      <c r="AI94" s="31" t="s">
        <v>9</v>
      </c>
      <c r="AJ94" s="32">
        <f>RTD("rtdtrading.rtdserver",, "DI1F32_F_0", "VAR")/100</f>
        <v>3.7050759540563209E-4</v>
      </c>
    </row>
    <row r="95" spans="1:49" ht="15.75" x14ac:dyDescent="0.25">
      <c r="A95" s="24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  <c r="AB95" s="13" t="s">
        <v>26</v>
      </c>
      <c r="AC95" s="7" t="str">
        <f>RTD("srv.rtd","","PLAYERSRANKING","DOLV25","72","SALDO","VOLFWITHFACTOR")</f>
        <v>0</v>
      </c>
      <c r="AD95" s="3"/>
      <c r="AE95" s="13" t="s">
        <v>26</v>
      </c>
      <c r="AF95" s="7" t="str">
        <f>RTD("srv.rtd","","PLAYERSRANKING","WDOV25","72","SALDO","VOLFWITHFACTOR")</f>
        <v>0</v>
      </c>
      <c r="AG95" s="23" t="s">
        <v>131</v>
      </c>
      <c r="AH95" s="26">
        <f>RTD("rtdtrading.rtdserver",, "USD/BRL_O_0", "VAR")/100</f>
        <v>-4.883322150152713E-3</v>
      </c>
      <c r="AI95" s="31" t="s">
        <v>10</v>
      </c>
      <c r="AJ95" s="32">
        <f>RTD("rtdtrading.rtdserver",, "DI1F33_F_0", "VAR")/100</f>
        <v>1.4820303816227918E-3</v>
      </c>
    </row>
    <row r="96" spans="1:49" ht="15.75" x14ac:dyDescent="0.25">
      <c r="A96" s="24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  <c r="AB96" s="13" t="s">
        <v>27</v>
      </c>
      <c r="AC96" s="7">
        <f>RTD("srv.rtd","","PLAYERSRANKING","DOLV25","4090","SALDO","VOLFWITHFACTOR")</f>
        <v>1875</v>
      </c>
      <c r="AD96" s="3"/>
      <c r="AE96" s="13" t="s">
        <v>27</v>
      </c>
      <c r="AF96" s="7">
        <f>RTD("srv.rtd","","PLAYERSRANKING","WDOV25","4090","SALDO","VOLFWITHFACTOR")</f>
        <v>14080365</v>
      </c>
      <c r="AG96" s="23" t="s">
        <v>18</v>
      </c>
      <c r="AH96" s="26">
        <f>RTD("rtdtrading.rtdserver",, "USD/CNH_O_0", "VAR")/100</f>
        <v>-4.3379180792775746E-4</v>
      </c>
      <c r="AI96" s="31" t="s">
        <v>11</v>
      </c>
      <c r="AJ96" s="32">
        <f>RTD("rtdtrading.rtdserver",, "DI1F34_F_0", "VAR")/100</f>
        <v>1.4836795252225205E-3</v>
      </c>
    </row>
    <row r="97" spans="1:36" ht="15.75" x14ac:dyDescent="0.25">
      <c r="A97" s="24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  <c r="AB97" s="13" t="s">
        <v>28</v>
      </c>
      <c r="AC97" s="7">
        <f>RTD("srv.rtd","","PLAYERSRANKING","DOLV25","120","SALDO","VOLFWITHFACTOR")</f>
        <v>209353625</v>
      </c>
      <c r="AD97" s="3"/>
      <c r="AE97" s="13" t="s">
        <v>28</v>
      </c>
      <c r="AF97" s="7">
        <f>RTD("srv.rtd","","PLAYERSRANKING","WDOV25","120","SALDO","VOLFWITHFACTOR")</f>
        <v>281236995</v>
      </c>
      <c r="AG97" s="23" t="s">
        <v>16</v>
      </c>
      <c r="AH97" s="26">
        <f>RTD("rtdtrading.rtdserver",, "USD/JPY_O_0", "VAR")/100</f>
        <v>-2.3095682111604851E-3</v>
      </c>
      <c r="AI97" s="31" t="s">
        <v>12</v>
      </c>
      <c r="AJ97" s="32">
        <f>RTD("rtdtrading.rtdserver",, "DI1F35_F_0", "VAR")/100</f>
        <v>1.8566654288896085E-3</v>
      </c>
    </row>
    <row r="98" spans="1:36" ht="15.75" x14ac:dyDescent="0.25">
      <c r="A98" s="24"/>
      <c r="B98" s="24"/>
      <c r="C98" s="24"/>
      <c r="D98" s="24"/>
      <c r="E98" s="24"/>
      <c r="F98" s="24"/>
      <c r="G98" s="24"/>
      <c r="H98" s="24"/>
      <c r="I98" s="24"/>
      <c r="J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  <c r="AB98" s="13" t="s">
        <v>29</v>
      </c>
      <c r="AC98" s="7">
        <f>RTD("srv.rtd","","PLAYERSRANKING","DOLV25","122","SALDO","VOLFWITHFACTOR")</f>
        <v>929382750</v>
      </c>
      <c r="AD98" s="3"/>
      <c r="AE98" s="13" t="s">
        <v>29</v>
      </c>
      <c r="AF98" s="7">
        <f>RTD("srv.rtd","","PLAYERSRANKING","WDOV25","122","SALDO","VOLFWITHFACTOR")</f>
        <v>779328945</v>
      </c>
      <c r="AG98" s="23" t="s">
        <v>132</v>
      </c>
      <c r="AH98" s="26">
        <f>RTD("rtdtrading.rtdserver",, "USD/MXN_O_0", "VAR")/100</f>
        <v>-5.6389253975103956E-3</v>
      </c>
      <c r="AI98" s="31" t="s">
        <v>14</v>
      </c>
      <c r="AJ98" s="32">
        <f>RTD("rtdtrading.rtdserver",, "DI1F36_F_0", "VAR")/100</f>
        <v>-7.4515648286151712E-4</v>
      </c>
    </row>
    <row r="99" spans="1:36" ht="15.75" x14ac:dyDescent="0.25">
      <c r="A99" s="24"/>
      <c r="B99" s="24"/>
      <c r="C99" s="24"/>
      <c r="D99" s="24"/>
      <c r="E99" s="24"/>
      <c r="F99" s="24"/>
      <c r="G99" s="24"/>
      <c r="H99" s="24"/>
      <c r="I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B99" s="13" t="s">
        <v>30</v>
      </c>
      <c r="AC99" s="7">
        <f>RTD("srv.rtd","","PLAYERSRANKING","DOLV25","3","SALDO","VOLFWITHFACTOR")</f>
        <v>-1000863250</v>
      </c>
      <c r="AD99" s="3"/>
      <c r="AE99" s="13" t="s">
        <v>30</v>
      </c>
      <c r="AF99" s="7">
        <f>RTD("srv.rtd","","PLAYERSRANKING","WDOV25","3","SALDO","VOLFWITHFACTOR")</f>
        <v>29223645</v>
      </c>
      <c r="AG99" s="23" t="s">
        <v>17</v>
      </c>
      <c r="AH99" s="26">
        <f>RTD("rtdtrading.rtdserver",, "USD/EUR_O_0", "VAR")/100</f>
        <v>-3.1708824592706934E-3</v>
      </c>
      <c r="AI99" s="31" t="s">
        <v>232</v>
      </c>
      <c r="AJ99" s="32">
        <f>RTD("rtdtrading.rtdserver",, "DI1F37_F_0", "VAR")/100</f>
        <v>0</v>
      </c>
    </row>
    <row r="100" spans="1:36" ht="15.75" x14ac:dyDescent="0.25">
      <c r="A100" s="24"/>
      <c r="B100" s="24"/>
      <c r="C100" s="24"/>
      <c r="D100" s="24"/>
      <c r="E100" s="24"/>
      <c r="F100" s="24"/>
      <c r="G100" s="24"/>
      <c r="H100" s="24"/>
      <c r="I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B100" s="13" t="s">
        <v>31</v>
      </c>
      <c r="AC100" s="7" t="str">
        <f>RTD("srv.rtd","","PLAYERSRANKING","DOLV25","308","SALDO","VOLFWITHFACTOR")</f>
        <v>0</v>
      </c>
      <c r="AD100" s="3"/>
      <c r="AE100" s="13" t="s">
        <v>31</v>
      </c>
      <c r="AF100" s="7" t="str">
        <f>RTD("srv.rtd","","PLAYERSRANKING","WDOV25","308","SALDO","VOLFWITHFACTOR")</f>
        <v>0</v>
      </c>
      <c r="AG100" s="23" t="s">
        <v>19</v>
      </c>
      <c r="AH100" s="26">
        <f>RTD("rtdtrading.rtdserver",, "USD/CAD_O_0", "VAR")/100</f>
        <v>-8.9660044973428877E-5</v>
      </c>
      <c r="AI100" s="31" t="s">
        <v>233</v>
      </c>
      <c r="AJ100" s="32">
        <f>RTD("rtdtrading.rtdserver",, "DI1F38_F_0", "VAR")/100</f>
        <v>-2.6158445440956756E-3</v>
      </c>
    </row>
    <row r="101" spans="1:36" ht="15.75" x14ac:dyDescent="0.25">
      <c r="AB101" s="13" t="s">
        <v>32</v>
      </c>
      <c r="AC101" s="7">
        <f>RTD("srv.rtd","","PLAYERSRANKING","DOLV25","114","SALDO","VOLFWITHFACTOR")</f>
        <v>200507000</v>
      </c>
      <c r="AD101" s="3"/>
      <c r="AE101" s="13" t="s">
        <v>32</v>
      </c>
      <c r="AF101" s="7">
        <f>RTD("srv.rtd","","PLAYERSRANKING","WDOV25","114","SALDO","VOLFWITHFACTOR")</f>
        <v>763857030</v>
      </c>
      <c r="AG101" s="23" t="s">
        <v>20</v>
      </c>
      <c r="AH101" s="26">
        <f>RTD("rtdtrading.rtdserver",, "USD/CZK_O_0", "VAR")/100</f>
        <v>-5.867971199199358E-3</v>
      </c>
      <c r="AI101" s="31" t="s">
        <v>234</v>
      </c>
      <c r="AJ101" s="32">
        <f>RTD("rtdtrading.rtdserver",, "DI1F39_F_0", "VAR")/100</f>
        <v>0</v>
      </c>
    </row>
    <row r="102" spans="1:36" ht="15.75" x14ac:dyDescent="0.25">
      <c r="AB102" s="13" t="s">
        <v>33</v>
      </c>
      <c r="AC102" s="7">
        <f>RTD("srv.rtd","","PLAYERSRANKING","DOLV25","147","SALDO","VOLFWITHFACTOR")</f>
        <v>504347125</v>
      </c>
      <c r="AD102" s="3"/>
      <c r="AE102" s="13" t="s">
        <v>33</v>
      </c>
      <c r="AF102" s="7">
        <f>RTD("srv.rtd","","PLAYERSRANKING","WDOV25","147","SALDO","VOLFWITHFACTOR")</f>
        <v>-1432531790</v>
      </c>
      <c r="AG102" s="23" t="s">
        <v>21</v>
      </c>
      <c r="AH102" s="26">
        <f>RTD("rtdtrading.rtdserver",, "USD/INR_O_0", "VAR")/100</f>
        <v>-1.0489183027186475E-3</v>
      </c>
      <c r="AI102" s="31" t="s">
        <v>235</v>
      </c>
      <c r="AJ102" s="32">
        <f>RTD("rtdtrading.rtdserver",, "DI1F40_F_0", "VAR")/100</f>
        <v>-3.7636432066259372E-4</v>
      </c>
    </row>
    <row r="103" spans="1:36" ht="15.75" x14ac:dyDescent="0.25">
      <c r="AB103" s="13" t="s">
        <v>34</v>
      </c>
      <c r="AC103" s="7">
        <f>RTD("srv.rtd","","PLAYERSRANKING","DOLV25","93","SALDO","VOLFWITHFACTOR")</f>
        <v>-77424500</v>
      </c>
      <c r="AD103" s="3"/>
      <c r="AE103" s="13" t="s">
        <v>34</v>
      </c>
      <c r="AF103" s="7">
        <f>RTD("srv.rtd","","PLAYERSRANKING","WDOV25","93","SALDO","VOLFWITHFACTOR")</f>
        <v>154166980</v>
      </c>
      <c r="AG103" s="23" t="s">
        <v>22</v>
      </c>
      <c r="AH103" s="26">
        <f>RTD("rtdtrading.rtdserver",, "USD/CHF_O_0", "VAR")/100</f>
        <v>-2.7383392491127003E-3</v>
      </c>
      <c r="AI103" s="31" t="s">
        <v>236</v>
      </c>
      <c r="AJ103" s="32">
        <f>RTD("rtdtrading.rtdserver",, "DI1G26_F_0", "VAR")/100</f>
        <v>-3.3568311513936091E-4</v>
      </c>
    </row>
    <row r="104" spans="1:36" ht="15.75" x14ac:dyDescent="0.25">
      <c r="AB104" s="13" t="s">
        <v>35</v>
      </c>
      <c r="AC104" s="9">
        <f>RTD("srv.rtd","","PLAYERSRANKING","DOLV25","127","SALDO","VOLFWITHFACTOR")</f>
        <v>-194076625</v>
      </c>
      <c r="AD104" s="3"/>
      <c r="AE104" s="13" t="s">
        <v>35</v>
      </c>
      <c r="AF104" s="8">
        <f>RTD("srv.rtd","","PLAYERSRANKING","WDOV25","127","SALDO","VOLFWITHFACTOR")</f>
        <v>-407514820</v>
      </c>
      <c r="AG104" s="23" t="s">
        <v>23</v>
      </c>
      <c r="AH104" s="26">
        <f>RTD("rtdtrading.rtdserver",, "USD/GBP_O_0", "VAR")/100</f>
        <v>-5.1075315420077809E-3</v>
      </c>
      <c r="AI104" s="31" t="s">
        <v>237</v>
      </c>
      <c r="AJ104" s="32">
        <f>RTD("rtdtrading.rtdserver",, "DI1H26_F_0", "VAR")/100</f>
        <v>-3.3613445378168451E-4</v>
      </c>
    </row>
    <row r="105" spans="1:36" ht="15.75" x14ac:dyDescent="0.25">
      <c r="AB105" s="13" t="s">
        <v>36</v>
      </c>
      <c r="AC105" s="7" t="str">
        <f>RTD("srv.rtd","","PLAYERSRANKING","DOLV25","90","SALDO","VOLFWITHFACTOR")</f>
        <v>0</v>
      </c>
      <c r="AD105" s="3"/>
      <c r="AE105" s="13" t="s">
        <v>36</v>
      </c>
      <c r="AF105" s="7" t="str">
        <f>RTD("srv.rtd","","PLAYERSRANKING","WDOV25","90","SALDO","VOLFWITHFACTOR")</f>
        <v>0</v>
      </c>
      <c r="AG105" s="23" t="s">
        <v>24</v>
      </c>
      <c r="AH105" s="26">
        <f>RTD("rtdtrading.rtdserver",, "USD/RUB_O_0", "VAR")/100</f>
        <v>-6.794097908794294E-3</v>
      </c>
      <c r="AI105" s="31" t="s">
        <v>238</v>
      </c>
      <c r="AJ105" s="32">
        <f>RTD("rtdtrading.rtdserver",, "DI1J26_F_0", "VAR")/100</f>
        <v>-3.3715441672303151E-4</v>
      </c>
    </row>
    <row r="106" spans="1:36" ht="15.75" x14ac:dyDescent="0.25">
      <c r="AB106" s="13" t="s">
        <v>37</v>
      </c>
      <c r="AC106" s="7">
        <f>RTD("srv.rtd","","PLAYERSRANKING","DOLV25","23","SALDO","VOLFWITHFACTOR")</f>
        <v>61097875</v>
      </c>
      <c r="AD106" s="3"/>
      <c r="AE106" s="13" t="s">
        <v>37</v>
      </c>
      <c r="AF106" s="7">
        <f>RTD("srv.rtd","","PLAYERSRANKING","WDOV25","23","SALDO","VOLFWITHFACTOR")</f>
        <v>475282010</v>
      </c>
      <c r="AG106" s="23" t="s">
        <v>68</v>
      </c>
      <c r="AH106" s="26">
        <f>RTD("rtdtrading.rtdserver",, "USD/ARS_O_0", "VAR")/100</f>
        <v>-7.4586962457308201E-3</v>
      </c>
      <c r="AI106" s="31" t="s">
        <v>239</v>
      </c>
      <c r="AJ106" s="32">
        <f>RTD("rtdtrading.rtdserver",, "DI1J27_F_0", "VAR")/100</f>
        <v>-3.6062026685901531E-3</v>
      </c>
    </row>
    <row r="107" spans="1:36" ht="15.75" x14ac:dyDescent="0.25">
      <c r="AB107" s="13" t="s">
        <v>38</v>
      </c>
      <c r="AC107" s="7">
        <f>RTD("srv.rtd","","PLAYERSRANKING","DOLV25","262","SALDO","VOLFWITHFACTOR")</f>
        <v>-23875</v>
      </c>
      <c r="AD107" s="3"/>
      <c r="AE107" s="13" t="s">
        <v>38</v>
      </c>
      <c r="AF107" s="7">
        <f>RTD("srv.rtd","","PLAYERSRANKING","WDOV25","262","SALDO","VOLFWITHFACTOR")</f>
        <v>188276120</v>
      </c>
      <c r="AG107" s="23" t="s">
        <v>69</v>
      </c>
      <c r="AH107" s="26">
        <f>RTD("rtdtrading.rtdserver",, "USD/TRY_O_0", "VAR")/100</f>
        <v>2.1345437334117415E-3</v>
      </c>
      <c r="AI107" s="31" t="s">
        <v>240</v>
      </c>
      <c r="AJ107" s="32">
        <f>RTD("rtdtrading.rtdserver",, "DI1J28_F_0", "VAR")/100</f>
        <v>-3.0086498683716371E-3</v>
      </c>
    </row>
    <row r="108" spans="1:36" ht="15.75" x14ac:dyDescent="0.25">
      <c r="AB108" s="13" t="s">
        <v>39</v>
      </c>
      <c r="AC108" s="7">
        <f>RTD("srv.rtd","","PLAYERSRANKING","DOLV25","27","SALDO","VOLFWITHFACTOR")</f>
        <v>-3998500</v>
      </c>
      <c r="AD108" s="3"/>
      <c r="AE108" s="13" t="s">
        <v>39</v>
      </c>
      <c r="AF108" s="7">
        <f>RTD("srv.rtd","","PLAYERSRANKING","WDOV25","27","SALDO","VOLFWITHFACTOR")</f>
        <v>-91785640</v>
      </c>
      <c r="AG108" s="23" t="s">
        <v>70</v>
      </c>
      <c r="AH108" s="26">
        <f>RTD("rtdtrading.rtdserver",, "USD/ZAR_O_0", "VAR")/100</f>
        <v>-4.9474172755646336E-3</v>
      </c>
      <c r="AI108" s="31" t="s">
        <v>241</v>
      </c>
      <c r="AJ108" s="32">
        <f>RTD("rtdtrading.rtdserver",, "DI1J29_F_0", "VAR")/100</f>
        <v>-1.5065913370997796E-3</v>
      </c>
    </row>
    <row r="109" spans="1:36" ht="15.75" x14ac:dyDescent="0.25">
      <c r="AB109" s="13" t="s">
        <v>40</v>
      </c>
      <c r="AC109" s="7">
        <f>RTD("srv.rtd","","PLAYERSRANKING","DOLV25","6003","SALDO","VOLFWITHFACTOR")</f>
        <v>216593000</v>
      </c>
      <c r="AD109" s="3"/>
      <c r="AE109" s="13" t="s">
        <v>40</v>
      </c>
      <c r="AF109" s="7">
        <f>RTD("srv.rtd","","PLAYERSRANKING","WDOV25","6003","SALDO","VOLFWITHFACTOR")</f>
        <v>-283906895</v>
      </c>
      <c r="AG109" s="28"/>
      <c r="AH109" s="26">
        <f>SUM(AH95:AH108)</f>
        <v>-4.8354578060711965E-2</v>
      </c>
      <c r="AI109" s="31" t="s">
        <v>242</v>
      </c>
      <c r="AJ109" s="32">
        <f>RTD("rtdtrading.rtdserver",, "DI1J30_F_0", "VAR")/100</f>
        <v>1.876172607879818E-3</v>
      </c>
    </row>
    <row r="110" spans="1:36" ht="15.75" x14ac:dyDescent="0.25">
      <c r="AB110" s="13" t="s">
        <v>41</v>
      </c>
      <c r="AC110" s="7">
        <f>RTD("srv.rtd","","PLAYERSRANKING","DOLV25","1099","SALDO","VOLFWITHFACTOR")</f>
        <v>-1000</v>
      </c>
      <c r="AD110" s="3"/>
      <c r="AE110" s="13" t="s">
        <v>41</v>
      </c>
      <c r="AF110" s="7">
        <f>RTD("srv.rtd","","PLAYERSRANKING","WDOV25","1099","SALDO","VOLFWITHFACTOR")</f>
        <v>16581445</v>
      </c>
      <c r="AG110" s="50" t="s">
        <v>134</v>
      </c>
      <c r="AH110" s="50" t="s">
        <v>135</v>
      </c>
      <c r="AI110" s="31" t="s">
        <v>243</v>
      </c>
      <c r="AJ110" s="32">
        <f>RTD("rtdtrading.rtdserver",, "DI1K26_F_0", "VAR")/100</f>
        <v>-1.3518080432579486E-3</v>
      </c>
    </row>
    <row r="111" spans="1:36" ht="15.75" x14ac:dyDescent="0.25">
      <c r="AB111" s="13" t="s">
        <v>42</v>
      </c>
      <c r="AC111" s="7" t="str">
        <f>RTD("srv.rtd","","PLAYERSRANKING","DOLV25","83","SALDO","VOLFWITHFACTOR")</f>
        <v>0</v>
      </c>
      <c r="AD111" s="3"/>
      <c r="AE111" s="13" t="s">
        <v>42</v>
      </c>
      <c r="AF111" s="7">
        <f>RTD("srv.rtd","","PLAYERSRANKING","WDOV25","83","SALDO","VOLFWITHFACTOR")</f>
        <v>2886045</v>
      </c>
      <c r="AG111" s="23" t="s">
        <v>136</v>
      </c>
      <c r="AH111" s="26">
        <v>-4.5999999999999999E-3</v>
      </c>
      <c r="AI111" s="31" t="s">
        <v>244</v>
      </c>
      <c r="AJ111" s="32">
        <f>RTD("rtdtrading.rtdserver",, "DI1M26_F_0", "VAR")/100</f>
        <v>-1.0200612036723796E-3</v>
      </c>
    </row>
    <row r="112" spans="1:36" ht="15.75" x14ac:dyDescent="0.25">
      <c r="AB112" s="13" t="s">
        <v>43</v>
      </c>
      <c r="AC112" s="7">
        <f>RTD("srv.rtd","","PLAYERSRANKING","DOLV25","59","SALDO","VOLFWITHFACTOR")</f>
        <v>5250</v>
      </c>
      <c r="AD112" s="3"/>
      <c r="AE112" s="13" t="s">
        <v>43</v>
      </c>
      <c r="AF112" s="7">
        <f>RTD("srv.rtd","","PLAYERSRANKING","WDOV25","59","SALDO","VOLFWITHFACTOR")</f>
        <v>175097180</v>
      </c>
      <c r="AG112" s="23" t="s">
        <v>137</v>
      </c>
      <c r="AH112" s="26">
        <v>-4.8999999999999998E-3</v>
      </c>
      <c r="AI112" s="31" t="s">
        <v>245</v>
      </c>
      <c r="AJ112" s="32">
        <f>RTD("rtdtrading.rtdserver",, "DI1N25_F_0", "VAR")/100</f>
        <v>0</v>
      </c>
    </row>
    <row r="113" spans="28:36" ht="15.75" x14ac:dyDescent="0.25">
      <c r="AB113" s="13" t="s">
        <v>44</v>
      </c>
      <c r="AC113" s="7" t="str">
        <f>RTD("srv.rtd","","PLAYERSRANKING","DOLV25","45","SALDO","VOLFWITHFACTOR")</f>
        <v>0</v>
      </c>
      <c r="AD113" s="3"/>
      <c r="AE113" s="13" t="s">
        <v>44</v>
      </c>
      <c r="AF113" s="7" t="str">
        <f>RTD("srv.rtd","","PLAYERSRANKING","WDOV25","45","SALDO","VOLFWITHFACTOR")</f>
        <v>0</v>
      </c>
      <c r="AG113" s="23" t="s">
        <v>138</v>
      </c>
      <c r="AH113" s="26">
        <v>-2.5000000000000001E-3</v>
      </c>
      <c r="AI113" s="31" t="s">
        <v>246</v>
      </c>
      <c r="AJ113" s="32">
        <f>RTD("rtdtrading.rtdserver",, "DI1N26_F_0", "VAR")/100</f>
        <v>-1.0256410256411859E-3</v>
      </c>
    </row>
    <row r="114" spans="28:36" ht="15.75" x14ac:dyDescent="0.25">
      <c r="AB114" s="13" t="s">
        <v>45</v>
      </c>
      <c r="AC114" s="7">
        <v>0</v>
      </c>
      <c r="AD114" s="3"/>
      <c r="AE114" s="13" t="s">
        <v>45</v>
      </c>
      <c r="AF114" s="7">
        <f>RTD("srv.rtd","","PLAYERSRANKING","WDOV25","688","SALDO","VOLFWITHFACTOR")</f>
        <v>-9105140</v>
      </c>
      <c r="AG114" s="23" t="s">
        <v>139</v>
      </c>
      <c r="AH114" s="26">
        <v>2.9999999999999997E-4</v>
      </c>
      <c r="AI114" s="31" t="s">
        <v>247</v>
      </c>
      <c r="AJ114" s="32">
        <f>RTD("rtdtrading.rtdserver",, "DI1N27_F_0", "VAR")/100</f>
        <v>-2.9293299157818324E-3</v>
      </c>
    </row>
    <row r="115" spans="28:36" ht="15.75" x14ac:dyDescent="0.25">
      <c r="AB115" s="13" t="s">
        <v>46</v>
      </c>
      <c r="AC115" s="7" t="str">
        <f>RTD("srv.rtd","","PLAYERSRANKING","DOLV25","190","SALDO","VOLFWITHFACTOR")</f>
        <v>0</v>
      </c>
      <c r="AD115" s="3"/>
      <c r="AE115" s="13" t="s">
        <v>46</v>
      </c>
      <c r="AF115" s="7" t="str">
        <f>RTD("srv.rtd","","PLAYERSRANKING","WDOV25","190","SALDO","VOLFWITHFACTOR")</f>
        <v>0</v>
      </c>
      <c r="AG115" s="23" t="s">
        <v>140</v>
      </c>
      <c r="AH115" s="26">
        <v>2.3E-3</v>
      </c>
      <c r="AI115" s="31" t="s">
        <v>248</v>
      </c>
      <c r="AJ115" s="32">
        <f>RTD("rtdtrading.rtdserver",, "DI1N28_F_0", "VAR")/100</f>
        <v>-2.6375282592314931E-3</v>
      </c>
    </row>
    <row r="116" spans="28:36" ht="15.75" x14ac:dyDescent="0.25">
      <c r="AB116" s="13" t="s">
        <v>47</v>
      </c>
      <c r="AC116" s="7">
        <f>RTD("srv.rtd","","PLAYERSRANKING","DOLV25","92","SALDO","VOLFWITHFACTOR")</f>
        <v>-128267000</v>
      </c>
      <c r="AD116" s="3"/>
      <c r="AE116" s="13" t="s">
        <v>47</v>
      </c>
      <c r="AF116" s="7">
        <f>RTD("srv.rtd","","PLAYERSRANKING","WDOV25","92","SALDO","VOLFWITHFACTOR")</f>
        <v>-194222565</v>
      </c>
      <c r="AG116" s="23" t="s">
        <v>141</v>
      </c>
      <c r="AH116" s="26">
        <v>3.0999999999999999E-3</v>
      </c>
      <c r="AI116" s="31" t="s">
        <v>249</v>
      </c>
      <c r="AJ116" s="32">
        <f>RTD("rtdtrading.rtdserver",, "DI1N29_F_0", "VAR")/100</f>
        <v>-1.1273957158964556E-3</v>
      </c>
    </row>
    <row r="117" spans="28:36" ht="15.75" x14ac:dyDescent="0.25">
      <c r="AB117" s="13" t="s">
        <v>48</v>
      </c>
      <c r="AC117" s="7">
        <f>RTD("srv.rtd","","PLAYERSRANKING","DOLV25","107","SALDO","VOLFWITHFACTOR")</f>
        <v>-103098875</v>
      </c>
      <c r="AD117" s="3"/>
      <c r="AE117" s="13" t="s">
        <v>48</v>
      </c>
      <c r="AF117" s="7">
        <f>RTD("srv.rtd","","PLAYERSRANKING","WDOV25","107","SALDO","VOLFWITHFACTOR")</f>
        <v>-92033390</v>
      </c>
      <c r="AG117" s="23" t="s">
        <v>142</v>
      </c>
      <c r="AH117" s="26">
        <v>3.3999999999999998E-3</v>
      </c>
      <c r="AI117" s="31" t="s">
        <v>250</v>
      </c>
      <c r="AJ117" s="32">
        <f>RTD("rtdtrading.rtdserver",, "DI1N30_F_0", "VAR")/100</f>
        <v>3.739715781599854E-4</v>
      </c>
    </row>
    <row r="118" spans="28:36" ht="15.75" x14ac:dyDescent="0.25">
      <c r="AB118" s="13" t="s">
        <v>49</v>
      </c>
      <c r="AC118" s="7">
        <f>RTD("srv.rtd","","PLAYERSRANKING","DOLV25","77","SALDO","VOLFWITHFACTOR")</f>
        <v>1334500</v>
      </c>
      <c r="AD118" s="3"/>
      <c r="AE118" s="13" t="s">
        <v>49</v>
      </c>
      <c r="AF118" s="7">
        <f>RTD("srv.rtd","","PLAYERSRANKING","WDOV25","77","SALDO","VOLFWITHFACTOR")</f>
        <v>-53232540</v>
      </c>
      <c r="AG118" s="23" t="s">
        <v>143</v>
      </c>
      <c r="AH118" s="26">
        <v>2.7000000000000001E-3</v>
      </c>
      <c r="AI118" s="31" t="s">
        <v>251</v>
      </c>
      <c r="AJ118" s="32">
        <f>RTD("rtdtrading.rtdserver",, "DI1Q26_F_0", "VAR")/100</f>
        <v>-2.4054982817869512E-3</v>
      </c>
    </row>
    <row r="119" spans="28:36" ht="15.75" x14ac:dyDescent="0.25">
      <c r="AB119" s="13" t="s">
        <v>50</v>
      </c>
      <c r="AC119" s="7" t="str">
        <f>RTD("srv.rtd","","PLAYERSRANKING","DOLV25","3701","SALDO","VOLFWITHFACTOR")</f>
        <v>0</v>
      </c>
      <c r="AD119" s="3"/>
      <c r="AE119" s="13" t="s">
        <v>50</v>
      </c>
      <c r="AF119" s="7" t="str">
        <f>RTD("srv.rtd","","PLAYERSRANKING","WDOV25","3701","SALDO","VOLFWITHFACTOR")</f>
        <v>0</v>
      </c>
      <c r="AG119" s="23" t="s">
        <v>144</v>
      </c>
      <c r="AH119" s="26">
        <f>SUM(DOLAR2[Var. %])</f>
        <v>-2.0000000000000009E-4</v>
      </c>
      <c r="AI119" s="31" t="s">
        <v>252</v>
      </c>
      <c r="AJ119" s="32">
        <f>RTD("rtdtrading.rtdserver",, "DI1Q25_F_0", "VAR")/100</f>
        <v>0</v>
      </c>
    </row>
    <row r="120" spans="28:36" x14ac:dyDescent="0.25">
      <c r="AB120" s="13" t="s">
        <v>51</v>
      </c>
      <c r="AC120" s="7" t="str">
        <f>RTD("srv.rtd","","PLAYERSRANKING","DOLV25","115","SALDO","VOLFWITHFACTOR")</f>
        <v>0</v>
      </c>
      <c r="AD120" s="3"/>
      <c r="AE120" s="13" t="s">
        <v>51</v>
      </c>
      <c r="AF120" s="7" t="str">
        <f>RTD("srv.rtd","","PLAYERSRANKING","WDOV25","115","SALDO","VOLFWITHFACTOR")</f>
        <v>0</v>
      </c>
      <c r="AG120" s="3"/>
      <c r="AH120" s="3"/>
      <c r="AI120" s="31" t="s">
        <v>253</v>
      </c>
      <c r="AJ120" s="32">
        <f>RTD("rtdtrading.rtdserver",, "DI1Q27_F_0", "VAR")/100</f>
        <v>-1.4727540500737372E-3</v>
      </c>
    </row>
    <row r="121" spans="28:36" x14ac:dyDescent="0.25">
      <c r="AB121" s="13" t="s">
        <v>52</v>
      </c>
      <c r="AC121" s="7">
        <f>RTD("srv.rtd","","PLAYERSRANKING","DOLV25","39","SALDO","VOLFWITHFACTOR")</f>
        <v>-622119000</v>
      </c>
      <c r="AD121" s="3"/>
      <c r="AE121" s="13" t="s">
        <v>52</v>
      </c>
      <c r="AF121" s="7">
        <f>RTD("srv.rtd","","PLAYERSRANKING","WDOV25","39","SALDO","VOLFWITHFACTOR")</f>
        <v>254200070</v>
      </c>
      <c r="AG121" s="3"/>
      <c r="AH121" s="3"/>
      <c r="AI121" s="31" t="s">
        <v>254</v>
      </c>
      <c r="AJ121" s="32">
        <f>RTD("rtdtrading.rtdserver",, "DI1U25_F_0", "VAR")/100</f>
        <v>0</v>
      </c>
    </row>
    <row r="122" spans="28:36" x14ac:dyDescent="0.25">
      <c r="AB122" s="13" t="s">
        <v>53</v>
      </c>
      <c r="AC122" s="7">
        <v>0</v>
      </c>
      <c r="AD122" s="3"/>
      <c r="AE122" s="13" t="s">
        <v>53</v>
      </c>
      <c r="AF122" s="7" t="str">
        <f>RTD("srv.rtd","","PLAYERSRANKING","WDOV25","735","SALDO","VOLFWITHFACTOR")</f>
        <v>0</v>
      </c>
      <c r="AG122" s="3"/>
      <c r="AH122" s="3"/>
      <c r="AI122" s="31" t="s">
        <v>255</v>
      </c>
      <c r="AJ122" s="32">
        <f>RTD("rtdtrading.rtdserver",, "DI1U26_F_0", "VAR")/100</f>
        <v>-2.7672085783467791E-3</v>
      </c>
    </row>
    <row r="123" spans="28:36" x14ac:dyDescent="0.25">
      <c r="AB123" s="13" t="s">
        <v>54</v>
      </c>
      <c r="AC123" s="7">
        <f>RTD("srv.rtd","","PLAYERSRANKING","DOLV25","746","SALDO","VOLFWITHFACTOR")</f>
        <v>-147061500</v>
      </c>
      <c r="AD123" s="3"/>
      <c r="AE123" s="13" t="s">
        <v>54</v>
      </c>
      <c r="AF123" s="7">
        <f>RTD("srv.rtd","","PLAYERSRANKING","WDOV25","746","SALDO","VOLFWITHFACTOR")</f>
        <v>-196868250</v>
      </c>
      <c r="AG123" s="3"/>
      <c r="AH123" s="3"/>
      <c r="AI123" s="31" t="s">
        <v>256</v>
      </c>
      <c r="AJ123" s="32">
        <f>RTD("rtdtrading.rtdserver",, "DI1V25_F_0", "VAR")/100</f>
        <v>-1.1918658342728464E-16</v>
      </c>
    </row>
    <row r="124" spans="28:36" x14ac:dyDescent="0.25">
      <c r="AB124" s="13" t="s">
        <v>55</v>
      </c>
      <c r="AC124" s="7">
        <f>RTD("srv.rtd","","PLAYERSRANKING","DOLV25","88","SALDO","VOLFWITHFACTOR")</f>
        <v>37403875</v>
      </c>
      <c r="AD124" s="3"/>
      <c r="AE124" s="13" t="s">
        <v>55</v>
      </c>
      <c r="AF124" s="7">
        <f>RTD("srv.rtd","","PLAYERSRANKING","WDOV25","88","SALDO","VOLFWITHFACTOR")</f>
        <v>-116141180</v>
      </c>
      <c r="AG124" s="3"/>
      <c r="AH124" s="3"/>
      <c r="AI124" s="31" t="s">
        <v>257</v>
      </c>
      <c r="AJ124" s="32">
        <f>RTD("rtdtrading.rtdserver",, "DI1V26_F_0", "VAR")/100</f>
        <v>-2.4407252440726578E-3</v>
      </c>
    </row>
    <row r="125" spans="28:36" x14ac:dyDescent="0.25">
      <c r="AB125" s="13" t="s">
        <v>56</v>
      </c>
      <c r="AC125" s="7">
        <f>RTD("srv.rtd","","PLAYERSRANKING","DOLV25","85","SALDO","VOLFWITHFACTOR")</f>
        <v>323514375</v>
      </c>
      <c r="AD125" s="3"/>
      <c r="AE125" s="13" t="s">
        <v>56</v>
      </c>
      <c r="AF125" s="7">
        <f>RTD("srv.rtd","","PLAYERSRANKING","WDOV25","85","SALDO","VOLFWITHFACTOR")</f>
        <v>-817278475</v>
      </c>
      <c r="AG125" s="3"/>
      <c r="AH125" s="3"/>
      <c r="AI125" s="31" t="s">
        <v>258</v>
      </c>
      <c r="AJ125" s="32">
        <f>RTD("rtdtrading.rtdserver",, "DI1V27_F_0", "VAR")/100</f>
        <v>-3.6995930447651284E-3</v>
      </c>
    </row>
    <row r="126" spans="28:36" x14ac:dyDescent="0.25">
      <c r="AB126" s="13" t="s">
        <v>57</v>
      </c>
      <c r="AC126" s="7">
        <f>RTD("srv.rtd","","PLAYERSRANKING","DOLV25","13","SALDO","VOLFWITHFACTOR")</f>
        <v>472071375</v>
      </c>
      <c r="AD126" s="3"/>
      <c r="AE126" s="13" t="s">
        <v>57</v>
      </c>
      <c r="AF126" s="7">
        <v>0</v>
      </c>
      <c r="AG126" s="3"/>
      <c r="AH126" s="3"/>
      <c r="AI126" s="31" t="s">
        <v>259</v>
      </c>
      <c r="AJ126" s="32">
        <f>RTD("rtdtrading.rtdserver",, "DI1V28_F_0", "VAR")/100</f>
        <v>-3.7750094375241835E-4</v>
      </c>
    </row>
    <row r="127" spans="28:36" x14ac:dyDescent="0.25">
      <c r="AB127" s="13" t="s">
        <v>58</v>
      </c>
      <c r="AC127" s="7">
        <f>RTD("srv.rtd","","PLAYERSRANKING","DOLV25","8","SALDO","VOLFWITHFACTOR")</f>
        <v>-308553875</v>
      </c>
      <c r="AD127" s="3"/>
      <c r="AE127" s="13" t="s">
        <v>58</v>
      </c>
      <c r="AF127" s="7">
        <f>RTD("srv.rtd","","PLAYERSRANKING","WDOV25","8","SALDO","VOLFWITHFACTOR")</f>
        <v>-175720390</v>
      </c>
      <c r="AG127" s="3"/>
      <c r="AH127" s="3"/>
      <c r="AI127" s="31" t="s">
        <v>260</v>
      </c>
      <c r="AJ127" s="32">
        <f>RTD("rtdtrading.rtdserver",, "DI1V29_F_0", "VAR")/100</f>
        <v>-1.1261261261261688E-3</v>
      </c>
    </row>
    <row r="128" spans="28:36" x14ac:dyDescent="0.25">
      <c r="AB128" s="13" t="s">
        <v>59</v>
      </c>
      <c r="AC128" s="7">
        <f>RTD("srv.rtd","","PLAYERSRANKING","DOLV25","40","SALDO","VOLFWITHFACTOR")</f>
        <v>47951000</v>
      </c>
      <c r="AD128" s="3"/>
      <c r="AE128" s="13" t="s">
        <v>59</v>
      </c>
      <c r="AF128" s="7">
        <f>RTD("srv.rtd","","PLAYERSRANKING","WDOV25","40","SALDO","VOLFWITHFACTOR")</f>
        <v>243568865</v>
      </c>
      <c r="AG128" s="3"/>
      <c r="AH128" s="3"/>
      <c r="AI128" s="31" t="s">
        <v>261</v>
      </c>
      <c r="AJ128" s="32">
        <f>RTD("rtdtrading.rtdserver",, "DI1V30_F_0", "VAR")/100</f>
        <v>0</v>
      </c>
    </row>
    <row r="129" spans="28:36" x14ac:dyDescent="0.25">
      <c r="AB129" s="13" t="s">
        <v>60</v>
      </c>
      <c r="AC129" s="7">
        <f>RTD("srv.rtd","","PLAYERSRANKING","DOLV25","1618","SALDO","VOLFWITHFACTOR")</f>
        <v>-245122500</v>
      </c>
      <c r="AD129" s="3"/>
      <c r="AE129" s="13" t="s">
        <v>60</v>
      </c>
      <c r="AF129" s="7">
        <f>RTD("srv.rtd","","PLAYERSRANKING","WDOV25","1618","SALDO","VOLFWITHFACTOR")</f>
        <v>369041535</v>
      </c>
      <c r="AG129" s="3"/>
      <c r="AH129" s="3"/>
      <c r="AI129" s="31" t="s">
        <v>262</v>
      </c>
      <c r="AJ129" s="32">
        <f>RTD("rtdtrading.rtdserver",, "DI1X25_F_0", "VAR")/100</f>
        <v>-1.1920257947928132E-16</v>
      </c>
    </row>
    <row r="130" spans="28:36" x14ac:dyDescent="0.25">
      <c r="AB130" s="13" t="s">
        <v>61</v>
      </c>
      <c r="AC130" s="7">
        <f>RTD("srv.rtd","","PLAYERSRANKING","DOLV25","238","SALDO","VOLFWITHFACTOR")</f>
        <v>-95078875</v>
      </c>
      <c r="AD130" s="3"/>
      <c r="AE130" s="13" t="s">
        <v>61</v>
      </c>
      <c r="AF130" s="7">
        <f>RTD("srv.rtd","","PLAYERSRANKING","WDOV25","238","SALDO","VOLFWITHFACTOR")</f>
        <v>-113444975</v>
      </c>
      <c r="AG130" s="3"/>
      <c r="AH130" s="3"/>
      <c r="AI130" s="31" t="s">
        <v>263</v>
      </c>
      <c r="AJ130" s="32">
        <f>RTD("rtdtrading.rtdserver",, "DI1Z25_F_0", "VAR")/100</f>
        <v>3.3561551886152535E-4</v>
      </c>
    </row>
    <row r="131" spans="28:36" x14ac:dyDescent="0.25">
      <c r="AB131" s="13" t="s">
        <v>62</v>
      </c>
      <c r="AC131" s="7">
        <f>RTD("srv.rtd","","PLAYERSRANKING","DOLV25","16","SALDO","VOLFWITHFACTOR")</f>
        <v>-202293500</v>
      </c>
      <c r="AD131" s="3"/>
      <c r="AE131" s="13" t="s">
        <v>62</v>
      </c>
      <c r="AF131" s="7">
        <f>RTD("srv.rtd","","PLAYERSRANKING","WDOV25","16","SALDO","VOLFWITHFACTOR")*10</f>
        <v>2358908150</v>
      </c>
      <c r="AG131" s="3"/>
      <c r="AH131" s="3"/>
      <c r="AI131" s="31" t="s">
        <v>264</v>
      </c>
      <c r="AJ131" s="32">
        <f>RTD("rtdtrading.rtdserver",, "DI1Z26_F_0", "VAR")/100</f>
        <v>-2.11864406779669E-3</v>
      </c>
    </row>
    <row r="132" spans="28:36" x14ac:dyDescent="0.25">
      <c r="AB132" s="3"/>
      <c r="AC132" s="2"/>
      <c r="AD132" s="3"/>
      <c r="AE132" s="3"/>
      <c r="AF132" s="2"/>
      <c r="AG132" s="3"/>
      <c r="AH132" s="3"/>
      <c r="AI132" s="31" t="s">
        <v>265</v>
      </c>
      <c r="AJ132" s="33">
        <f>SUM(AJ89:AJ131)</f>
        <v>-3.8548053848737482E-2</v>
      </c>
    </row>
  </sheetData>
  <conditionalFormatting sqref="B2">
    <cfRule type="cellIs" dxfId="142" priority="127" operator="lessThan">
      <formula>0</formula>
    </cfRule>
    <cfRule type="cellIs" dxfId="141" priority="129" operator="greaterThan">
      <formula>0</formula>
    </cfRule>
  </conditionalFormatting>
  <conditionalFormatting sqref="B3">
    <cfRule type="cellIs" dxfId="140" priority="126" operator="greaterThan">
      <formula>0</formula>
    </cfRule>
    <cfRule type="cellIs" dxfId="139" priority="128" operator="lessThan">
      <formula>0</formula>
    </cfRule>
  </conditionalFormatting>
  <conditionalFormatting sqref="B4">
    <cfRule type="cellIs" dxfId="138" priority="124" operator="lessThan">
      <formula>0</formula>
    </cfRule>
    <cfRule type="cellIs" dxfId="137" priority="125" operator="greaterThan">
      <formula>0</formula>
    </cfRule>
  </conditionalFormatting>
  <conditionalFormatting sqref="B8">
    <cfRule type="cellIs" dxfId="136" priority="122" operator="lessThan">
      <formula>0</formula>
    </cfRule>
    <cfRule type="cellIs" dxfId="135" priority="123" operator="greaterThan">
      <formula>0</formula>
    </cfRule>
  </conditionalFormatting>
  <conditionalFormatting sqref="B9">
    <cfRule type="cellIs" dxfId="134" priority="120" operator="lessThan">
      <formula>0</formula>
    </cfRule>
    <cfRule type="cellIs" dxfId="133" priority="121" operator="greaterThan">
      <formula>0</formula>
    </cfRule>
  </conditionalFormatting>
  <conditionalFormatting sqref="B10">
    <cfRule type="cellIs" dxfId="132" priority="118" operator="lessThan">
      <formula>0</formula>
    </cfRule>
    <cfRule type="cellIs" dxfId="131" priority="119" operator="greaterThan">
      <formula>0</formula>
    </cfRule>
  </conditionalFormatting>
  <conditionalFormatting sqref="E2">
    <cfRule type="cellIs" dxfId="130" priority="116" operator="lessThan">
      <formula>0</formula>
    </cfRule>
    <cfRule type="cellIs" dxfId="129" priority="117" operator="greaterThan">
      <formula>0</formula>
    </cfRule>
  </conditionalFormatting>
  <conditionalFormatting sqref="E3">
    <cfRule type="cellIs" dxfId="128" priority="114" operator="lessThan">
      <formula>0</formula>
    </cfRule>
    <cfRule type="cellIs" dxfId="127" priority="115" operator="greaterThan">
      <formula>0</formula>
    </cfRule>
  </conditionalFormatting>
  <conditionalFormatting sqref="E4">
    <cfRule type="cellIs" dxfId="126" priority="96" operator="equal">
      <formula>0</formula>
    </cfRule>
    <cfRule type="cellIs" dxfId="125" priority="110" operator="equal">
      <formula>0</formula>
    </cfRule>
    <cfRule type="cellIs" dxfId="124" priority="111" operator="equal">
      <formula>0</formula>
    </cfRule>
    <cfRule type="cellIs" dxfId="123" priority="112" operator="lessThan">
      <formula>0</formula>
    </cfRule>
    <cfRule type="cellIs" dxfId="122" priority="113" operator="greaterThan">
      <formula>0</formula>
    </cfRule>
  </conditionalFormatting>
  <conditionalFormatting sqref="E5">
    <cfRule type="cellIs" dxfId="121" priority="108" operator="lessThan">
      <formula>0</formula>
    </cfRule>
    <cfRule type="cellIs" dxfId="120" priority="109" operator="greaterThan">
      <formula>0</formula>
    </cfRule>
  </conditionalFormatting>
  <conditionalFormatting sqref="E6">
    <cfRule type="cellIs" dxfId="119" priority="106" operator="lessThan">
      <formula>0</formula>
    </cfRule>
    <cfRule type="cellIs" dxfId="118" priority="107" operator="greaterThan">
      <formula>0</formula>
    </cfRule>
  </conditionalFormatting>
  <conditionalFormatting sqref="E8">
    <cfRule type="cellIs" dxfId="117" priority="100" operator="equal">
      <formula>0</formula>
    </cfRule>
    <cfRule type="cellIs" dxfId="116" priority="101" operator="lessThan">
      <formula>0</formula>
    </cfRule>
    <cfRule type="cellIs" dxfId="115" priority="102" operator="greaterThan">
      <formula>0</formula>
    </cfRule>
  </conditionalFormatting>
  <conditionalFormatting sqref="E9">
    <cfRule type="cellIs" dxfId="114" priority="97" operator="equal">
      <formula>0</formula>
    </cfRule>
    <cfRule type="cellIs" dxfId="113" priority="98" operator="lessThan">
      <formula>0</formula>
    </cfRule>
    <cfRule type="cellIs" dxfId="112" priority="99" operator="greaterThan">
      <formula>0</formula>
    </cfRule>
  </conditionalFormatting>
  <conditionalFormatting sqref="AF91">
    <cfRule type="cellIs" dxfId="111" priority="93" operator="equal">
      <formula>0</formula>
    </cfRule>
    <cfRule type="cellIs" dxfId="110" priority="94" operator="equal">
      <formula>"-"</formula>
    </cfRule>
    <cfRule type="cellIs" dxfId="109" priority="95" operator="equal">
      <formula>0</formula>
    </cfRule>
  </conditionalFormatting>
  <conditionalFormatting sqref="AH93">
    <cfRule type="cellIs" dxfId="108" priority="90" operator="equal">
      <formula>0</formula>
    </cfRule>
    <cfRule type="cellIs" dxfId="107" priority="91" operator="lessThan">
      <formula>0</formula>
    </cfRule>
    <cfRule type="cellIs" dxfId="106" priority="92" operator="greaterThan">
      <formula>0</formula>
    </cfRule>
  </conditionalFormatting>
  <conditionalFormatting sqref="AH109">
    <cfRule type="cellIs" dxfId="105" priority="87" operator="equal">
      <formula>0</formula>
    </cfRule>
    <cfRule type="cellIs" dxfId="104" priority="88" operator="lessThan">
      <formula>0</formula>
    </cfRule>
    <cfRule type="cellIs" dxfId="103" priority="89" operator="greaterThan">
      <formula>0</formula>
    </cfRule>
  </conditionalFormatting>
  <conditionalFormatting sqref="AH119">
    <cfRule type="cellIs" dxfId="102" priority="84" operator="equal">
      <formula>0</formula>
    </cfRule>
    <cfRule type="cellIs" dxfId="101" priority="85" operator="lessThan">
      <formula>0</formula>
    </cfRule>
    <cfRule type="cellIs" dxfId="100" priority="86" operator="greaterThan">
      <formula>0</formula>
    </cfRule>
  </conditionalFormatting>
  <conditionalFormatting sqref="AJ132">
    <cfRule type="cellIs" dxfId="99" priority="82" operator="lessThan">
      <formula>0</formula>
    </cfRule>
    <cfRule type="cellIs" dxfId="98" priority="83" operator="greaterThan">
      <formula>0</formula>
    </cfRule>
  </conditionalFormatting>
  <conditionalFormatting sqref="H2">
    <cfRule type="cellIs" dxfId="97" priority="79" operator="equal">
      <formula>0</formula>
    </cfRule>
    <cfRule type="cellIs" dxfId="96" priority="80" operator="lessThan">
      <formula>0</formula>
    </cfRule>
    <cfRule type="cellIs" dxfId="95" priority="81" operator="greaterThan">
      <formula>0</formula>
    </cfRule>
  </conditionalFormatting>
  <conditionalFormatting sqref="H3">
    <cfRule type="cellIs" dxfId="94" priority="76" operator="equal">
      <formula>0</formula>
    </cfRule>
    <cfRule type="cellIs" dxfId="93" priority="77" operator="lessThan">
      <formula>0</formula>
    </cfRule>
    <cfRule type="cellIs" dxfId="92" priority="78" operator="greaterThan">
      <formula>0</formula>
    </cfRule>
  </conditionalFormatting>
  <conditionalFormatting sqref="H4">
    <cfRule type="cellIs" dxfId="91" priority="73" operator="equal">
      <formula>0</formula>
    </cfRule>
    <cfRule type="cellIs" dxfId="90" priority="74" operator="lessThan">
      <formula>0</formula>
    </cfRule>
    <cfRule type="cellIs" dxfId="89" priority="75" operator="greaterThan">
      <formula>0</formula>
    </cfRule>
  </conditionalFormatting>
  <conditionalFormatting sqref="H8">
    <cfRule type="cellIs" dxfId="88" priority="70" operator="equal">
      <formula>0</formula>
    </cfRule>
    <cfRule type="cellIs" dxfId="87" priority="71" operator="lessThan">
      <formula>0</formula>
    </cfRule>
    <cfRule type="cellIs" dxfId="86" priority="72" operator="greaterThan">
      <formula>0</formula>
    </cfRule>
  </conditionalFormatting>
  <conditionalFormatting sqref="H9">
    <cfRule type="cellIs" dxfId="85" priority="67" operator="equal">
      <formula>0</formula>
    </cfRule>
    <cfRule type="cellIs" dxfId="84" priority="68" operator="lessThan">
      <formula>0</formula>
    </cfRule>
    <cfRule type="cellIs" dxfId="83" priority="69" operator="greaterThan">
      <formula>0</formula>
    </cfRule>
  </conditionalFormatting>
  <conditionalFormatting sqref="H10">
    <cfRule type="cellIs" dxfId="82" priority="64" operator="equal">
      <formula>0</formula>
    </cfRule>
    <cfRule type="cellIs" dxfId="81" priority="65" operator="lessThan">
      <formula>0</formula>
    </cfRule>
    <cfRule type="cellIs" dxfId="80" priority="66" operator="greaterThan">
      <formula>0</formula>
    </cfRule>
  </conditionalFormatting>
  <conditionalFormatting sqref="H14">
    <cfRule type="cellIs" dxfId="79" priority="61" operator="equal">
      <formula>0</formula>
    </cfRule>
    <cfRule type="cellIs" dxfId="78" priority="62" operator="lessThan">
      <formula>0</formula>
    </cfRule>
    <cfRule type="cellIs" dxfId="77" priority="63" operator="greaterThan">
      <formula>0</formula>
    </cfRule>
  </conditionalFormatting>
  <conditionalFormatting sqref="K2">
    <cfRule type="cellIs" dxfId="76" priority="58" operator="equal">
      <formula>0</formula>
    </cfRule>
    <cfRule type="cellIs" dxfId="75" priority="59" operator="lessThan">
      <formula>0</formula>
    </cfRule>
    <cfRule type="cellIs" dxfId="74" priority="60" operator="greaterThan">
      <formula>0</formula>
    </cfRule>
  </conditionalFormatting>
  <conditionalFormatting sqref="K3">
    <cfRule type="cellIs" dxfId="73" priority="55" operator="equal">
      <formula>0</formula>
    </cfRule>
    <cfRule type="cellIs" dxfId="72" priority="56" operator="lessThan">
      <formula>0</formula>
    </cfRule>
    <cfRule type="cellIs" dxfId="71" priority="57" operator="greaterThan">
      <formula>0</formula>
    </cfRule>
  </conditionalFormatting>
  <conditionalFormatting sqref="B18:B19">
    <cfRule type="cellIs" dxfId="70" priority="28" operator="equal">
      <formula>0</formula>
    </cfRule>
    <cfRule type="cellIs" dxfId="69" priority="29" operator="lessThan">
      <formula>0</formula>
    </cfRule>
    <cfRule type="cellIs" dxfId="68" priority="30" operator="greaterThan">
      <formula>0</formula>
    </cfRule>
  </conditionalFormatting>
  <conditionalFormatting sqref="H18:H19">
    <cfRule type="cellIs" dxfId="67" priority="25" operator="equal">
      <formula>0</formula>
    </cfRule>
    <cfRule type="cellIs" dxfId="66" priority="26" operator="lessThan">
      <formula>0</formula>
    </cfRule>
    <cfRule type="cellIs" dxfId="65" priority="27" operator="greaterThan">
      <formula>0</formula>
    </cfRule>
  </conditionalFormatting>
  <conditionalFormatting sqref="B2:B4">
    <cfRule type="cellIs" dxfId="64" priority="24" operator="equal">
      <formula>0</formula>
    </cfRule>
  </conditionalFormatting>
  <conditionalFormatting sqref="B8:B10">
    <cfRule type="cellIs" dxfId="63" priority="23" operator="equal">
      <formula>0</formula>
    </cfRule>
  </conditionalFormatting>
  <conditionalFormatting sqref="E2:E6 E8:E9">
    <cfRule type="cellIs" dxfId="62" priority="22" operator="equal">
      <formula>0</formula>
    </cfRule>
  </conditionalFormatting>
  <conditionalFormatting sqref="E7">
    <cfRule type="cellIs" dxfId="61" priority="19" operator="equal">
      <formula>0</formula>
    </cfRule>
    <cfRule type="cellIs" dxfId="60" priority="20" operator="lessThan">
      <formula>0</formula>
    </cfRule>
    <cfRule type="cellIs" dxfId="59" priority="21" operator="greaterThan">
      <formula>0</formula>
    </cfRule>
  </conditionalFormatting>
  <conditionalFormatting sqref="K1">
    <cfRule type="cellIs" dxfId="58" priority="16" operator="equal">
      <formula>0</formula>
    </cfRule>
    <cfRule type="cellIs" dxfId="57" priority="17" operator="lessThan">
      <formula>0</formula>
    </cfRule>
    <cfRule type="cellIs" dxfId="56" priority="18" operator="greaterThan">
      <formula>0</formula>
    </cfRule>
  </conditionalFormatting>
  <conditionalFormatting sqref="E1">
    <cfRule type="cellIs" dxfId="55" priority="14" operator="lessThan">
      <formula>0</formula>
    </cfRule>
    <cfRule type="cellIs" dxfId="54" priority="15" operator="greaterThan">
      <formula>0</formula>
    </cfRule>
  </conditionalFormatting>
  <conditionalFormatting sqref="E1">
    <cfRule type="cellIs" dxfId="53" priority="13" operator="equal">
      <formula>0</formula>
    </cfRule>
  </conditionalFormatting>
  <conditionalFormatting sqref="B17">
    <cfRule type="cellIs" dxfId="52" priority="10" operator="equal">
      <formula>0</formula>
    </cfRule>
    <cfRule type="cellIs" dxfId="51" priority="11" operator="lessThan">
      <formula>0</formula>
    </cfRule>
    <cfRule type="cellIs" dxfId="50" priority="12" operator="greaterThan">
      <formula>0</formula>
    </cfRule>
  </conditionalFormatting>
  <conditionalFormatting sqref="H17">
    <cfRule type="cellIs" dxfId="49" priority="7" operator="equal">
      <formula>0</formula>
    </cfRule>
    <cfRule type="cellIs" dxfId="48" priority="8" operator="lessThan">
      <formula>0</formula>
    </cfRule>
    <cfRule type="cellIs" dxfId="47" priority="9" operator="greaterThan">
      <formula>0</formula>
    </cfRule>
  </conditionalFormatting>
  <conditionalFormatting sqref="K4">
    <cfRule type="cellIs" dxfId="46" priority="4" operator="equal">
      <formula>0</formula>
    </cfRule>
    <cfRule type="cellIs" dxfId="45" priority="5" operator="lessThan">
      <formula>0</formula>
    </cfRule>
    <cfRule type="cellIs" dxfId="44" priority="6" operator="greaterThan">
      <formula>0</formula>
    </cfRule>
  </conditionalFormatting>
  <conditionalFormatting sqref="K5">
    <cfRule type="cellIs" dxfId="43" priority="1" operator="equal">
      <formula>0</formula>
    </cfRule>
    <cfRule type="cellIs" dxfId="42" priority="2" operator="lessThan">
      <formula>0</formula>
    </cfRule>
    <cfRule type="cellIs" dxfId="41" priority="3" operator="greater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ignoredErrors>
    <ignoredError sqref="E4" formula="1"/>
    <ignoredError sqref="H18 B18 B15" calculatedColumn="1"/>
  </ignoredErrors>
  <tableParts count="14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C0901-DA4B-485D-BC2F-C84C36686AA2}">
  <sheetPr codeName="Planilha2"/>
  <dimension ref="A1:V253"/>
  <sheetViews>
    <sheetView topLeftCell="A340" workbookViewId="0">
      <selection activeCell="P236" sqref="P236"/>
    </sheetView>
  </sheetViews>
  <sheetFormatPr defaultRowHeight="15" x14ac:dyDescent="0.25"/>
  <cols>
    <col min="1" max="1" width="32.5703125" style="65" customWidth="1"/>
    <col min="2" max="2" width="32.7109375" style="65" customWidth="1"/>
    <col min="3" max="3" width="41.7109375" style="65" customWidth="1"/>
    <col min="4" max="4" width="33.28515625" style="65" customWidth="1"/>
    <col min="5" max="5" width="16.5703125" style="66" customWidth="1"/>
    <col min="6" max="6" width="34.28515625" style="65" customWidth="1"/>
    <col min="7" max="7" width="31.5703125" style="65" customWidth="1"/>
    <col min="8" max="8" width="34.42578125" style="65" customWidth="1"/>
    <col min="9" max="9" width="28.85546875" style="65" customWidth="1"/>
    <col min="10" max="10" width="36" style="65" customWidth="1"/>
    <col min="11" max="11" width="42.7109375" style="65" customWidth="1"/>
    <col min="12" max="12" width="38.7109375" style="65" customWidth="1"/>
    <col min="13" max="13" width="37.42578125" style="65" customWidth="1"/>
    <col min="14" max="14" width="15.7109375" style="75" customWidth="1"/>
    <col min="15" max="15" width="18.42578125" style="75" customWidth="1"/>
    <col min="16" max="16" width="37.42578125" style="65" customWidth="1"/>
    <col min="17" max="17" width="37.85546875" style="65" customWidth="1"/>
    <col min="18" max="18" width="31.85546875" style="65" customWidth="1"/>
    <col min="19" max="19" width="23.28515625" style="65" customWidth="1"/>
    <col min="20" max="20" width="28.7109375" style="65" customWidth="1"/>
    <col min="21" max="21" width="29.28515625" customWidth="1"/>
  </cols>
  <sheetData>
    <row r="1" spans="1:22" x14ac:dyDescent="0.25">
      <c r="A1" s="65" t="s">
        <v>290</v>
      </c>
      <c r="B1" s="65" t="s">
        <v>291</v>
      </c>
      <c r="C1" s="65" t="s">
        <v>292</v>
      </c>
      <c r="D1" s="65" t="s">
        <v>293</v>
      </c>
      <c r="E1" s="66" t="s">
        <v>294</v>
      </c>
      <c r="F1" s="65" t="s">
        <v>295</v>
      </c>
      <c r="G1" s="65" t="s">
        <v>296</v>
      </c>
      <c r="H1" s="65" t="s">
        <v>297</v>
      </c>
      <c r="I1" s="65" t="s">
        <v>298</v>
      </c>
      <c r="J1" s="65" t="s">
        <v>299</v>
      </c>
      <c r="K1" s="65" t="s">
        <v>300</v>
      </c>
      <c r="L1" s="65" t="s">
        <v>301</v>
      </c>
      <c r="M1" s="65" t="s">
        <v>302</v>
      </c>
      <c r="N1" s="75" t="s">
        <v>303</v>
      </c>
      <c r="O1" s="75" t="s">
        <v>304</v>
      </c>
      <c r="P1" s="65" t="s">
        <v>305</v>
      </c>
      <c r="Q1" s="65" t="s">
        <v>306</v>
      </c>
      <c r="R1" s="65" t="s">
        <v>307</v>
      </c>
      <c r="S1" s="65" t="s">
        <v>308</v>
      </c>
      <c r="T1" s="65" t="s">
        <v>309</v>
      </c>
      <c r="U1" t="s">
        <v>318</v>
      </c>
      <c r="V1" t="s">
        <v>319</v>
      </c>
    </row>
    <row r="2" spans="1:22" x14ac:dyDescent="0.25">
      <c r="A2" s="67">
        <v>45925.01761574074</v>
      </c>
      <c r="B2" s="68">
        <v>1312871569</v>
      </c>
      <c r="C2" s="68">
        <v>1975817353</v>
      </c>
      <c r="D2" s="68">
        <v>468547565</v>
      </c>
      <c r="E2" s="66">
        <v>-8.3550910556366795E-3</v>
      </c>
      <c r="F2" s="68">
        <v>-773986836</v>
      </c>
      <c r="G2" s="68">
        <v>-40220388</v>
      </c>
      <c r="H2" s="68">
        <v>430390287</v>
      </c>
      <c r="I2" s="65" t="s">
        <v>316</v>
      </c>
      <c r="J2" s="65" t="s">
        <v>317</v>
      </c>
      <c r="K2" s="68">
        <v>-1403253960</v>
      </c>
      <c r="L2" s="68">
        <v>-1443329240</v>
      </c>
      <c r="M2" s="68">
        <v>-1931972050</v>
      </c>
      <c r="N2" s="75">
        <v>-8.3550910556366778E-3</v>
      </c>
      <c r="O2" s="75">
        <v>4.3612751901203735E-2</v>
      </c>
      <c r="P2" s="68">
        <v>477531695</v>
      </c>
      <c r="Q2" s="68">
        <v>576725420</v>
      </c>
      <c r="R2" s="68">
        <v>-1113714645</v>
      </c>
      <c r="S2" s="65" t="s">
        <v>314</v>
      </c>
      <c r="T2" s="65" t="s">
        <v>317</v>
      </c>
      <c r="U2" t="e">
        <f t="shared" ref="U2:U33" si="0">I2+J2</f>
        <v>#VALUE!</v>
      </c>
      <c r="V2" t="e">
        <f t="shared" ref="V2:V33" si="1">S2+T2</f>
        <v>#VALUE!</v>
      </c>
    </row>
    <row r="3" spans="1:22" x14ac:dyDescent="0.25">
      <c r="A3" s="67">
        <v>45925.032557870371</v>
      </c>
      <c r="B3" s="68">
        <v>1312871569</v>
      </c>
      <c r="C3" s="68">
        <v>1975817353</v>
      </c>
      <c r="D3" s="68">
        <v>468547565</v>
      </c>
      <c r="E3" s="66">
        <v>4.3612751901203735E-2</v>
      </c>
      <c r="F3" s="68">
        <v>-773986836</v>
      </c>
      <c r="G3" s="68">
        <v>-40220388</v>
      </c>
      <c r="H3" s="68">
        <v>430390287</v>
      </c>
      <c r="I3" s="65" t="s">
        <v>316</v>
      </c>
      <c r="J3" s="65" t="s">
        <v>317</v>
      </c>
      <c r="K3" s="68">
        <v>-1403253960</v>
      </c>
      <c r="L3" s="68">
        <v>-1443329240</v>
      </c>
      <c r="M3" s="68">
        <v>-1931972050</v>
      </c>
      <c r="N3" s="75">
        <v>4.3612751901203735E-2</v>
      </c>
      <c r="O3" s="75">
        <v>-4.4999999999999997E-3</v>
      </c>
      <c r="P3" s="68">
        <v>477531695</v>
      </c>
      <c r="Q3" s="68">
        <v>576725420</v>
      </c>
      <c r="R3" s="68">
        <v>-1113714645</v>
      </c>
      <c r="S3" s="65" t="s">
        <v>314</v>
      </c>
      <c r="T3" s="65" t="s">
        <v>317</v>
      </c>
      <c r="U3" t="e">
        <f t="shared" si="0"/>
        <v>#VALUE!</v>
      </c>
      <c r="V3" t="e">
        <f t="shared" si="1"/>
        <v>#VALUE!</v>
      </c>
    </row>
    <row r="4" spans="1:22" x14ac:dyDescent="0.25">
      <c r="A4" s="67">
        <v>45925.032604166663</v>
      </c>
      <c r="B4" s="68">
        <v>1312871569</v>
      </c>
      <c r="C4" s="68">
        <v>1975817353</v>
      </c>
      <c r="D4" s="68">
        <v>468547565</v>
      </c>
      <c r="E4" s="66">
        <v>4.3612751901203735E-2</v>
      </c>
      <c r="F4" s="68">
        <v>-773986836</v>
      </c>
      <c r="G4" s="68">
        <v>-40220388</v>
      </c>
      <c r="H4" s="68">
        <v>430390287</v>
      </c>
      <c r="I4" s="65" t="s">
        <v>316</v>
      </c>
      <c r="J4" s="65" t="s">
        <v>317</v>
      </c>
      <c r="K4" s="68">
        <v>-1403253960</v>
      </c>
      <c r="L4" s="68">
        <v>-1443329240</v>
      </c>
      <c r="M4" s="68">
        <v>-1931972050</v>
      </c>
      <c r="N4" s="75">
        <v>4.3612751901203735E-2</v>
      </c>
      <c r="O4" s="75">
        <v>-4.4999999999999997E-3</v>
      </c>
      <c r="P4" s="68">
        <v>477531695</v>
      </c>
      <c r="Q4" s="68">
        <v>576725420</v>
      </c>
      <c r="R4" s="68">
        <v>-1113714645</v>
      </c>
      <c r="S4" s="65" t="s">
        <v>314</v>
      </c>
      <c r="T4" s="65" t="s">
        <v>317</v>
      </c>
      <c r="U4" t="e">
        <f t="shared" si="0"/>
        <v>#VALUE!</v>
      </c>
      <c r="V4" t="e">
        <f t="shared" si="1"/>
        <v>#VALUE!</v>
      </c>
    </row>
    <row r="5" spans="1:22" x14ac:dyDescent="0.25">
      <c r="A5" s="67">
        <v>45925.376759259256</v>
      </c>
      <c r="B5" s="68">
        <v>0</v>
      </c>
      <c r="C5" s="68">
        <v>0</v>
      </c>
      <c r="D5" s="68">
        <v>0</v>
      </c>
      <c r="E5" s="66">
        <v>-3.9466671859043088E-2</v>
      </c>
      <c r="F5" s="68">
        <v>0</v>
      </c>
      <c r="G5" s="68">
        <v>0</v>
      </c>
      <c r="H5" s="68">
        <v>0</v>
      </c>
      <c r="I5" s="65" t="s">
        <v>316</v>
      </c>
      <c r="J5" s="65">
        <v>-1.163</v>
      </c>
      <c r="K5" s="68">
        <v>-484369500</v>
      </c>
      <c r="L5" s="68">
        <v>-15574155</v>
      </c>
      <c r="M5" s="68">
        <v>-570109005</v>
      </c>
      <c r="N5" s="75">
        <v>-3.9466671859043088E-2</v>
      </c>
      <c r="O5" s="75">
        <v>3.5999999999999997E-2</v>
      </c>
      <c r="P5" s="68">
        <v>53767300</v>
      </c>
      <c r="Q5" s="68">
        <v>-115664820</v>
      </c>
      <c r="R5" s="68">
        <v>18540100</v>
      </c>
      <c r="T5"/>
      <c r="U5" t="e">
        <f t="shared" si="0"/>
        <v>#VALUE!</v>
      </c>
      <c r="V5">
        <f t="shared" si="1"/>
        <v>0</v>
      </c>
    </row>
    <row r="6" spans="1:22" x14ac:dyDescent="0.25">
      <c r="A6" s="67">
        <v>45925.377291666664</v>
      </c>
      <c r="B6" s="68">
        <v>0</v>
      </c>
      <c r="C6" s="68">
        <v>0</v>
      </c>
      <c r="D6" s="68">
        <v>0</v>
      </c>
      <c r="E6" s="66">
        <v>-4.3131871301110861E-2</v>
      </c>
      <c r="F6" s="68">
        <v>0</v>
      </c>
      <c r="G6" s="68">
        <v>0</v>
      </c>
      <c r="H6" s="68">
        <v>0</v>
      </c>
      <c r="I6" s="65" t="s">
        <v>316</v>
      </c>
      <c r="J6" s="65">
        <v>14.31</v>
      </c>
      <c r="K6" s="68">
        <v>-447029980</v>
      </c>
      <c r="L6" s="68">
        <v>-61230875</v>
      </c>
      <c r="M6" s="68">
        <v>-593983485</v>
      </c>
      <c r="N6" s="75">
        <v>-4.3131871301110861E-2</v>
      </c>
      <c r="O6" s="75">
        <v>3.5999999999999997E-2</v>
      </c>
      <c r="P6" s="68">
        <v>55363795</v>
      </c>
      <c r="Q6" s="68">
        <v>-99738845</v>
      </c>
      <c r="R6" s="68">
        <v>-25990975</v>
      </c>
      <c r="U6" t="e">
        <f t="shared" si="0"/>
        <v>#VALUE!</v>
      </c>
      <c r="V6">
        <f t="shared" si="1"/>
        <v>0</v>
      </c>
    </row>
    <row r="7" spans="1:22" x14ac:dyDescent="0.25">
      <c r="A7" s="67">
        <v>45925.377650462964</v>
      </c>
      <c r="B7" s="68">
        <v>0</v>
      </c>
      <c r="C7" s="68">
        <v>0</v>
      </c>
      <c r="D7" s="68">
        <v>0</v>
      </c>
      <c r="E7" s="66">
        <v>-4.5357331600618125E-2</v>
      </c>
      <c r="F7" s="68">
        <v>0</v>
      </c>
      <c r="G7" s="68">
        <v>0</v>
      </c>
      <c r="H7" s="68">
        <v>0</v>
      </c>
      <c r="I7" s="65" t="s">
        <v>316</v>
      </c>
      <c r="J7" s="65">
        <v>12.507</v>
      </c>
      <c r="K7" s="68">
        <v>-436166545</v>
      </c>
      <c r="L7" s="68">
        <v>-51483595</v>
      </c>
      <c r="M7" s="68">
        <v>-610599425</v>
      </c>
      <c r="N7" s="75">
        <v>-4.5357331600618125E-2</v>
      </c>
      <c r="O7" s="75">
        <v>3.5999999999999997E-2</v>
      </c>
      <c r="P7" s="68">
        <v>52274505</v>
      </c>
      <c r="Q7" s="68">
        <v>-89940550</v>
      </c>
      <c r="R7" s="68">
        <v>-19703905</v>
      </c>
      <c r="U7" t="e">
        <f t="shared" si="0"/>
        <v>#VALUE!</v>
      </c>
      <c r="V7">
        <f t="shared" si="1"/>
        <v>0</v>
      </c>
    </row>
    <row r="8" spans="1:22" x14ac:dyDescent="0.25">
      <c r="A8" s="67">
        <v>45925.378240740742</v>
      </c>
      <c r="B8" s="68">
        <v>0</v>
      </c>
      <c r="C8" s="68">
        <v>0</v>
      </c>
      <c r="D8" s="68">
        <v>0</v>
      </c>
      <c r="E8" s="66">
        <v>-4.6080042554780751E-2</v>
      </c>
      <c r="F8" s="68">
        <v>0</v>
      </c>
      <c r="G8" s="68">
        <v>0</v>
      </c>
      <c r="H8" s="68">
        <v>0</v>
      </c>
      <c r="I8" s="65" t="s">
        <v>316</v>
      </c>
      <c r="J8" s="65">
        <v>2.5179999999999998</v>
      </c>
      <c r="K8" s="68">
        <v>-456407470</v>
      </c>
      <c r="L8" s="68">
        <v>-68526995</v>
      </c>
      <c r="M8" s="68">
        <v>-590357680</v>
      </c>
      <c r="N8" s="75">
        <v>-4.6080042554780751E-2</v>
      </c>
      <c r="O8" s="75">
        <v>3.4699999999999995E-2</v>
      </c>
      <c r="P8" s="68">
        <v>49664315</v>
      </c>
      <c r="Q8" s="68">
        <v>-110234005</v>
      </c>
      <c r="R8" s="68">
        <v>-28805255</v>
      </c>
      <c r="U8" t="e">
        <f t="shared" si="0"/>
        <v>#VALUE!</v>
      </c>
      <c r="V8">
        <f t="shared" si="1"/>
        <v>0</v>
      </c>
    </row>
    <row r="9" spans="1:22" x14ac:dyDescent="0.25">
      <c r="A9" s="67">
        <v>45925.378587962965</v>
      </c>
      <c r="B9" s="68">
        <v>0</v>
      </c>
      <c r="C9" s="68">
        <v>0</v>
      </c>
      <c r="D9" s="68">
        <v>0</v>
      </c>
      <c r="E9" s="66">
        <v>-4.3856268078389396E-2</v>
      </c>
      <c r="F9" s="68">
        <v>0</v>
      </c>
      <c r="G9" s="68">
        <v>0</v>
      </c>
      <c r="H9" s="68">
        <v>0</v>
      </c>
      <c r="I9" s="65" t="s">
        <v>316</v>
      </c>
      <c r="J9" s="65">
        <v>3.7690000000000001</v>
      </c>
      <c r="K9" s="68">
        <v>-456407470</v>
      </c>
      <c r="L9" s="68">
        <v>-68526995</v>
      </c>
      <c r="M9" s="68">
        <v>-590357680</v>
      </c>
      <c r="N9" s="75">
        <v>-4.3856268078389396E-2</v>
      </c>
      <c r="O9" s="75">
        <v>3.49E-2</v>
      </c>
      <c r="P9" s="68">
        <v>49664315</v>
      </c>
      <c r="Q9" s="68">
        <v>-110234005</v>
      </c>
      <c r="R9" s="68">
        <v>-28805255</v>
      </c>
      <c r="U9" t="e">
        <f t="shared" si="0"/>
        <v>#VALUE!</v>
      </c>
      <c r="V9">
        <f t="shared" si="1"/>
        <v>0</v>
      </c>
    </row>
    <row r="10" spans="1:22" x14ac:dyDescent="0.25">
      <c r="A10" s="67">
        <v>45925.378935185188</v>
      </c>
      <c r="B10" s="68">
        <v>0</v>
      </c>
      <c r="C10" s="68">
        <v>0</v>
      </c>
      <c r="D10" s="68">
        <v>0</v>
      </c>
      <c r="E10" s="66">
        <v>-4.5336250564699795E-2</v>
      </c>
      <c r="F10" s="68">
        <v>0</v>
      </c>
      <c r="G10" s="68">
        <v>0</v>
      </c>
      <c r="H10" s="68">
        <v>0</v>
      </c>
      <c r="I10" s="65" t="s">
        <v>316</v>
      </c>
      <c r="J10" s="65">
        <v>4.4390000000000001</v>
      </c>
      <c r="K10" s="68">
        <v>-456407470</v>
      </c>
      <c r="L10" s="68">
        <v>-68526995</v>
      </c>
      <c r="M10" s="68">
        <v>-590357680</v>
      </c>
      <c r="N10" s="75">
        <v>-4.5336250564699795E-2</v>
      </c>
      <c r="O10" s="75">
        <v>3.49E-2</v>
      </c>
      <c r="P10" s="68">
        <v>49664315</v>
      </c>
      <c r="Q10" s="68">
        <v>-110234005</v>
      </c>
      <c r="R10" s="68">
        <v>-28805255</v>
      </c>
      <c r="U10" t="e">
        <f t="shared" si="0"/>
        <v>#VALUE!</v>
      </c>
      <c r="V10">
        <f t="shared" si="1"/>
        <v>0</v>
      </c>
    </row>
    <row r="11" spans="1:22" x14ac:dyDescent="0.25">
      <c r="A11" s="67">
        <v>45925.379282407404</v>
      </c>
      <c r="B11" s="68">
        <v>0</v>
      </c>
      <c r="C11" s="68">
        <v>0</v>
      </c>
      <c r="D11" s="68">
        <v>0</v>
      </c>
      <c r="E11" s="66">
        <v>-4.2014601265604953E-2</v>
      </c>
      <c r="F11" s="68">
        <v>0</v>
      </c>
      <c r="G11" s="68">
        <v>0</v>
      </c>
      <c r="H11" s="68">
        <v>0</v>
      </c>
      <c r="I11" s="65" t="s">
        <v>316</v>
      </c>
      <c r="J11" s="65">
        <v>7.6269999999999998</v>
      </c>
      <c r="K11" s="68">
        <v>-456407470</v>
      </c>
      <c r="L11" s="68">
        <v>-68526995</v>
      </c>
      <c r="M11" s="68">
        <v>-590357680</v>
      </c>
      <c r="N11" s="75">
        <v>-4.2014601265604953E-2</v>
      </c>
      <c r="O11" s="75">
        <v>3.49E-2</v>
      </c>
      <c r="P11" s="68">
        <v>49664315</v>
      </c>
      <c r="Q11" s="68">
        <v>-110234005</v>
      </c>
      <c r="R11" s="68">
        <v>-28805255</v>
      </c>
      <c r="U11" t="e">
        <f t="shared" si="0"/>
        <v>#VALUE!</v>
      </c>
      <c r="V11">
        <f t="shared" si="1"/>
        <v>0</v>
      </c>
    </row>
    <row r="12" spans="1:22" x14ac:dyDescent="0.25">
      <c r="A12" s="67">
        <v>45925.379629629628</v>
      </c>
      <c r="B12" s="68">
        <v>0</v>
      </c>
      <c r="C12" s="68">
        <v>0</v>
      </c>
      <c r="D12" s="68">
        <v>0</v>
      </c>
      <c r="E12" s="66">
        <v>-3.7183005922854187E-2</v>
      </c>
      <c r="F12" s="68">
        <v>0</v>
      </c>
      <c r="G12" s="68">
        <v>0</v>
      </c>
      <c r="H12" s="68">
        <v>0</v>
      </c>
      <c r="I12" s="65" t="s">
        <v>316</v>
      </c>
      <c r="J12" s="65">
        <v>5.88</v>
      </c>
      <c r="K12" s="68">
        <v>-456407470</v>
      </c>
      <c r="L12" s="68">
        <v>-68526995</v>
      </c>
      <c r="M12" s="68">
        <v>-577037680</v>
      </c>
      <c r="N12" s="75">
        <v>-3.7183005922854187E-2</v>
      </c>
      <c r="O12" s="75">
        <v>3.49E-2</v>
      </c>
      <c r="P12" s="68">
        <v>49664315</v>
      </c>
      <c r="Q12" s="68">
        <v>-110234005</v>
      </c>
      <c r="R12" s="68">
        <v>-28805255</v>
      </c>
      <c r="U12" t="e">
        <f t="shared" si="0"/>
        <v>#VALUE!</v>
      </c>
      <c r="V12">
        <f t="shared" si="1"/>
        <v>0</v>
      </c>
    </row>
    <row r="13" spans="1:22" x14ac:dyDescent="0.25">
      <c r="A13" s="67">
        <v>45925.380023148151</v>
      </c>
      <c r="B13" s="68">
        <v>60219738</v>
      </c>
      <c r="C13" s="68">
        <v>60219738</v>
      </c>
      <c r="D13" s="68">
        <v>0</v>
      </c>
      <c r="E13" s="66">
        <v>-3.9049986188332185E-2</v>
      </c>
      <c r="F13" s="68">
        <v>0</v>
      </c>
      <c r="G13" s="68">
        <v>0</v>
      </c>
      <c r="H13" s="68">
        <v>0</v>
      </c>
      <c r="I13" s="65" t="s">
        <v>316</v>
      </c>
      <c r="J13" s="65">
        <v>3.548</v>
      </c>
      <c r="K13" s="68">
        <v>-456407470</v>
      </c>
      <c r="L13" s="68">
        <v>-68526995</v>
      </c>
      <c r="M13" s="68">
        <v>-579167280</v>
      </c>
      <c r="N13" s="75">
        <v>-3.9049986188332185E-2</v>
      </c>
      <c r="O13" s="75">
        <v>3.49E-2</v>
      </c>
      <c r="P13" s="68">
        <v>49664315</v>
      </c>
      <c r="Q13" s="68">
        <v>-110234005</v>
      </c>
      <c r="R13" s="68">
        <v>-28805255</v>
      </c>
      <c r="U13" t="e">
        <f t="shared" si="0"/>
        <v>#VALUE!</v>
      </c>
      <c r="V13">
        <f t="shared" si="1"/>
        <v>0</v>
      </c>
    </row>
    <row r="14" spans="1:22" x14ac:dyDescent="0.25">
      <c r="A14" s="67">
        <v>45925.380393518521</v>
      </c>
      <c r="B14" s="68">
        <v>150012572</v>
      </c>
      <c r="C14" s="68">
        <v>286092470</v>
      </c>
      <c r="D14" s="68">
        <v>-197265761</v>
      </c>
      <c r="E14" s="66">
        <v>-3.4996111083874952E-2</v>
      </c>
      <c r="F14" s="68">
        <v>68948407</v>
      </c>
      <c r="G14" s="68">
        <v>-85298594</v>
      </c>
      <c r="H14" s="68">
        <v>221006860</v>
      </c>
      <c r="I14" s="65" t="s">
        <v>316</v>
      </c>
      <c r="J14" s="65">
        <v>4.452</v>
      </c>
      <c r="K14" s="68">
        <v>-535496575</v>
      </c>
      <c r="L14" s="68">
        <v>-29740110</v>
      </c>
      <c r="M14" s="68">
        <v>-562901495</v>
      </c>
      <c r="N14" s="75">
        <v>-3.4996111083874952E-2</v>
      </c>
      <c r="O14" s="75">
        <v>3.49E-2</v>
      </c>
      <c r="P14" s="68">
        <v>27087065</v>
      </c>
      <c r="Q14" s="68">
        <v>-96803030</v>
      </c>
      <c r="R14" s="68">
        <v>-38675170</v>
      </c>
      <c r="U14" t="e">
        <f t="shared" si="0"/>
        <v>#VALUE!</v>
      </c>
      <c r="V14">
        <f t="shared" si="1"/>
        <v>0</v>
      </c>
    </row>
    <row r="15" spans="1:22" x14ac:dyDescent="0.25">
      <c r="A15" s="67">
        <v>45925.380740740744</v>
      </c>
      <c r="B15" s="68">
        <v>56183241</v>
      </c>
      <c r="C15" s="68">
        <v>342344313</v>
      </c>
      <c r="D15" s="68">
        <v>-217477667</v>
      </c>
      <c r="E15" s="66">
        <v>-3.4635344643802551E-2</v>
      </c>
      <c r="F15" s="68">
        <v>90614234</v>
      </c>
      <c r="G15" s="68">
        <v>-112152067</v>
      </c>
      <c r="H15" s="68">
        <v>231026383</v>
      </c>
      <c r="I15" s="65" t="s">
        <v>316</v>
      </c>
      <c r="J15" s="65">
        <v>5.0439999999999996</v>
      </c>
      <c r="K15" s="68">
        <v>-712276785</v>
      </c>
      <c r="L15" s="68">
        <v>-17489910</v>
      </c>
      <c r="M15" s="68">
        <v>-724341910</v>
      </c>
      <c r="N15" s="75">
        <v>-3.4635344643802551E-2</v>
      </c>
      <c r="O15" s="75">
        <v>3.49E-2</v>
      </c>
      <c r="P15" s="68">
        <v>47648785</v>
      </c>
      <c r="Q15" s="68">
        <v>-113151780</v>
      </c>
      <c r="R15" s="68">
        <v>-36118175</v>
      </c>
      <c r="U15" t="e">
        <f t="shared" si="0"/>
        <v>#VALUE!</v>
      </c>
      <c r="V15">
        <f t="shared" si="1"/>
        <v>0</v>
      </c>
    </row>
    <row r="16" spans="1:22" x14ac:dyDescent="0.25">
      <c r="A16" s="67">
        <v>45925.38108796296</v>
      </c>
      <c r="B16" s="68">
        <v>70268111</v>
      </c>
      <c r="C16" s="68">
        <v>364603589</v>
      </c>
      <c r="D16" s="68">
        <v>-215370132</v>
      </c>
      <c r="E16" s="66">
        <v>-3.6139379655346228E-2</v>
      </c>
      <c r="F16" s="68">
        <v>75408162</v>
      </c>
      <c r="G16" s="68">
        <v>-115767763</v>
      </c>
      <c r="H16" s="68">
        <v>239953279</v>
      </c>
      <c r="I16" s="65" t="s">
        <v>316</v>
      </c>
      <c r="J16" s="65">
        <v>8.0340000000000007</v>
      </c>
      <c r="K16" s="68">
        <v>-823658060</v>
      </c>
      <c r="L16" s="68">
        <v>-84653725</v>
      </c>
      <c r="M16" s="68">
        <v>-799613365</v>
      </c>
      <c r="N16" s="75">
        <v>-3.6139379655346228E-2</v>
      </c>
      <c r="O16" s="75">
        <v>3.49E-2</v>
      </c>
      <c r="P16" s="68">
        <v>36834070</v>
      </c>
      <c r="Q16" s="68">
        <v>-116130205</v>
      </c>
      <c r="R16" s="68">
        <v>-50553255</v>
      </c>
      <c r="U16" t="e">
        <f t="shared" si="0"/>
        <v>#VALUE!</v>
      </c>
      <c r="V16">
        <f t="shared" si="1"/>
        <v>0</v>
      </c>
    </row>
    <row r="17" spans="1:22" x14ac:dyDescent="0.25">
      <c r="A17" s="67">
        <v>45925.381435185183</v>
      </c>
      <c r="B17" s="68">
        <v>82158819</v>
      </c>
      <c r="C17" s="68">
        <v>386900644</v>
      </c>
      <c r="D17" s="68">
        <v>-236950746</v>
      </c>
      <c r="E17" s="66">
        <v>-3.7974756578250307E-2</v>
      </c>
      <c r="F17" s="68">
        <v>75290579</v>
      </c>
      <c r="G17" s="68">
        <v>-107879716</v>
      </c>
      <c r="H17" s="68">
        <v>225691497</v>
      </c>
      <c r="I17" s="65" t="s">
        <v>316</v>
      </c>
      <c r="J17" s="65">
        <v>10.563000000000001</v>
      </c>
      <c r="K17" s="68">
        <v>-847247955</v>
      </c>
      <c r="L17" s="68">
        <v>-128697180</v>
      </c>
      <c r="M17" s="68">
        <v>-744913110</v>
      </c>
      <c r="N17" s="75">
        <v>-3.7974756578250307E-2</v>
      </c>
      <c r="O17" s="75">
        <v>3.4699999999999995E-2</v>
      </c>
      <c r="P17" s="68">
        <v>42478915</v>
      </c>
      <c r="Q17" s="68">
        <v>-118207850</v>
      </c>
      <c r="R17" s="68">
        <v>-106471415</v>
      </c>
      <c r="U17" t="e">
        <f t="shared" si="0"/>
        <v>#VALUE!</v>
      </c>
      <c r="V17">
        <f t="shared" si="1"/>
        <v>0</v>
      </c>
    </row>
    <row r="18" spans="1:22" x14ac:dyDescent="0.25">
      <c r="A18" s="67">
        <v>45925.381782407407</v>
      </c>
      <c r="B18" s="68">
        <v>47022539</v>
      </c>
      <c r="C18" s="68">
        <v>330389868</v>
      </c>
      <c r="D18" s="68">
        <v>-190621576</v>
      </c>
      <c r="E18" s="66">
        <v>-4.3170825487157179E-2</v>
      </c>
      <c r="F18" s="68">
        <v>61797599</v>
      </c>
      <c r="G18" s="68">
        <v>-122734117</v>
      </c>
      <c r="H18" s="68">
        <v>263092800</v>
      </c>
      <c r="I18" s="65" t="s">
        <v>316</v>
      </c>
      <c r="J18" s="65">
        <v>12.010999999999999</v>
      </c>
      <c r="K18" s="68">
        <v>-870141695</v>
      </c>
      <c r="L18" s="68">
        <v>-99837360</v>
      </c>
      <c r="M18" s="68">
        <v>-778137865</v>
      </c>
      <c r="N18" s="75">
        <v>-4.3170825487157179E-2</v>
      </c>
      <c r="O18" s="75">
        <v>3.4199999999999994E-2</v>
      </c>
      <c r="P18" s="68">
        <v>49028390</v>
      </c>
      <c r="Q18" s="68">
        <v>-112882995</v>
      </c>
      <c r="R18" s="68">
        <v>-84906665</v>
      </c>
      <c r="U18" t="e">
        <f t="shared" si="0"/>
        <v>#VALUE!</v>
      </c>
      <c r="V18">
        <f t="shared" si="1"/>
        <v>0</v>
      </c>
    </row>
    <row r="19" spans="1:22" x14ac:dyDescent="0.25">
      <c r="A19" s="67">
        <v>45925.38212962963</v>
      </c>
      <c r="B19" s="68">
        <v>43046911</v>
      </c>
      <c r="C19" s="68">
        <v>341304113</v>
      </c>
      <c r="D19" s="68">
        <v>-187207828</v>
      </c>
      <c r="E19" s="66">
        <v>-4.0587156159019935E-2</v>
      </c>
      <c r="F19" s="68">
        <v>52692108</v>
      </c>
      <c r="G19" s="68">
        <v>-132195429</v>
      </c>
      <c r="H19" s="68">
        <v>252654024</v>
      </c>
      <c r="I19" s="65" t="s">
        <v>316</v>
      </c>
      <c r="J19" s="65">
        <v>11.8</v>
      </c>
      <c r="K19" s="68">
        <v>-1087604860</v>
      </c>
      <c r="L19" s="68">
        <v>-80670145</v>
      </c>
      <c r="M19" s="68">
        <v>-999062725</v>
      </c>
      <c r="N19" s="75">
        <v>-4.0587156159019935E-2</v>
      </c>
      <c r="O19" s="75">
        <v>3.4199999999999994E-2</v>
      </c>
      <c r="P19" s="68">
        <v>52329875</v>
      </c>
      <c r="Q19" s="68">
        <v>-108836155</v>
      </c>
      <c r="R19" s="68">
        <v>-63769200</v>
      </c>
      <c r="U19" t="e">
        <f t="shared" si="0"/>
        <v>#VALUE!</v>
      </c>
      <c r="V19">
        <f t="shared" si="1"/>
        <v>0</v>
      </c>
    </row>
    <row r="20" spans="1:22" x14ac:dyDescent="0.25">
      <c r="A20" s="67">
        <v>45925.382488425923</v>
      </c>
      <c r="B20" s="68">
        <v>79859388</v>
      </c>
      <c r="C20" s="68">
        <v>380007424</v>
      </c>
      <c r="D20" s="68">
        <v>-126478465</v>
      </c>
      <c r="E20" s="66">
        <v>-4.0216302592336037E-2</v>
      </c>
      <c r="F20" s="68">
        <v>35012672</v>
      </c>
      <c r="G20" s="68">
        <v>-134331285</v>
      </c>
      <c r="H20" s="68">
        <v>272266702</v>
      </c>
      <c r="I20" s="65" t="s">
        <v>316</v>
      </c>
      <c r="J20" s="65">
        <v>13.675000000000001</v>
      </c>
      <c r="K20" s="68">
        <v>-1106985480</v>
      </c>
      <c r="L20" s="68">
        <v>-59691645</v>
      </c>
      <c r="M20" s="68">
        <v>-1006197220</v>
      </c>
      <c r="N20" s="75">
        <v>-4.0216302592336037E-2</v>
      </c>
      <c r="O20" s="75">
        <v>3.4199999999999994E-2</v>
      </c>
      <c r="P20" s="68">
        <v>52595765</v>
      </c>
      <c r="Q20" s="68">
        <v>-127418105</v>
      </c>
      <c r="R20" s="68">
        <v>-37359080</v>
      </c>
      <c r="U20" t="e">
        <f t="shared" si="0"/>
        <v>#VALUE!</v>
      </c>
      <c r="V20">
        <f t="shared" si="1"/>
        <v>0</v>
      </c>
    </row>
    <row r="21" spans="1:22" x14ac:dyDescent="0.25">
      <c r="A21" s="67">
        <v>45925.382835648146</v>
      </c>
      <c r="B21" s="68">
        <v>88076057</v>
      </c>
      <c r="C21" s="68">
        <v>387953406</v>
      </c>
      <c r="D21" s="68">
        <v>-55869646</v>
      </c>
      <c r="E21" s="66">
        <v>-3.8325753468178653E-2</v>
      </c>
      <c r="F21" s="68">
        <v>14277894</v>
      </c>
      <c r="G21" s="68">
        <v>-134568543</v>
      </c>
      <c r="H21" s="68">
        <v>309527763</v>
      </c>
      <c r="I21" s="65" t="s">
        <v>316</v>
      </c>
      <c r="J21" s="65">
        <v>15.756</v>
      </c>
      <c r="K21" s="68">
        <v>-1102670605</v>
      </c>
      <c r="L21" s="68">
        <v>-47700675</v>
      </c>
      <c r="M21" s="68">
        <v>-981172770</v>
      </c>
      <c r="N21" s="75">
        <v>-3.8325753468178653E-2</v>
      </c>
      <c r="O21" s="75">
        <v>3.4199999999999994E-2</v>
      </c>
      <c r="P21" s="68">
        <v>65480180</v>
      </c>
      <c r="Q21" s="68">
        <v>-133165625</v>
      </c>
      <c r="R21" s="68">
        <v>-61788055</v>
      </c>
      <c r="U21" t="e">
        <f t="shared" si="0"/>
        <v>#VALUE!</v>
      </c>
      <c r="V21">
        <f t="shared" si="1"/>
        <v>0</v>
      </c>
    </row>
    <row r="22" spans="1:22" x14ac:dyDescent="0.25">
      <c r="A22" s="67">
        <v>45925.38318287037</v>
      </c>
      <c r="B22" s="68">
        <v>75798083</v>
      </c>
      <c r="C22" s="68">
        <v>395782324</v>
      </c>
      <c r="D22" s="68">
        <v>-82535197</v>
      </c>
      <c r="E22" s="66">
        <v>-3.8325753468178653E-2</v>
      </c>
      <c r="F22" s="68">
        <v>8315730</v>
      </c>
      <c r="G22" s="68">
        <v>-139194809</v>
      </c>
      <c r="H22" s="68">
        <v>294845784</v>
      </c>
      <c r="I22" s="65" t="s">
        <v>316</v>
      </c>
      <c r="J22" s="65">
        <v>15.569000000000001</v>
      </c>
      <c r="K22" s="68">
        <v>-1102507240</v>
      </c>
      <c r="L22" s="68">
        <v>-70813030</v>
      </c>
      <c r="M22" s="68">
        <v>-982233420</v>
      </c>
      <c r="N22" s="75">
        <v>-3.8325753468178653E-2</v>
      </c>
      <c r="O22" s="75">
        <v>2.8099999999999997E-2</v>
      </c>
      <c r="P22" s="68">
        <v>65320255</v>
      </c>
      <c r="Q22" s="68">
        <v>-158937560</v>
      </c>
      <c r="R22" s="68">
        <v>-65248765</v>
      </c>
      <c r="U22" t="e">
        <f t="shared" si="0"/>
        <v>#VALUE!</v>
      </c>
      <c r="V22">
        <f t="shared" si="1"/>
        <v>0</v>
      </c>
    </row>
    <row r="23" spans="1:22" x14ac:dyDescent="0.25">
      <c r="A23" s="67">
        <v>45925.383530092593</v>
      </c>
      <c r="B23" s="68">
        <v>91636765</v>
      </c>
      <c r="C23" s="68">
        <v>387559254</v>
      </c>
      <c r="D23" s="68">
        <v>-44148579</v>
      </c>
      <c r="E23" s="66">
        <v>-3.726107044731948E-2</v>
      </c>
      <c r="F23" s="68">
        <v>8524187</v>
      </c>
      <c r="G23" s="68">
        <v>-138453365</v>
      </c>
      <c r="H23" s="68">
        <v>301400253</v>
      </c>
      <c r="I23" s="65" t="s">
        <v>316</v>
      </c>
      <c r="J23" s="65">
        <v>18.276</v>
      </c>
      <c r="K23" s="68">
        <v>-1118639435</v>
      </c>
      <c r="L23" s="68">
        <v>-81943365</v>
      </c>
      <c r="M23" s="68">
        <v>-1005927495</v>
      </c>
      <c r="N23" s="75">
        <v>-3.726107044731948E-2</v>
      </c>
      <c r="O23" s="75">
        <v>2.8099999999999997E-2</v>
      </c>
      <c r="P23" s="68">
        <v>57493060</v>
      </c>
      <c r="Q23" s="68">
        <v>-174217840</v>
      </c>
      <c r="R23" s="68">
        <v>-86228125</v>
      </c>
      <c r="U23" t="e">
        <f t="shared" si="0"/>
        <v>#VALUE!</v>
      </c>
      <c r="V23">
        <f t="shared" si="1"/>
        <v>0</v>
      </c>
    </row>
    <row r="24" spans="1:22" x14ac:dyDescent="0.25">
      <c r="A24" s="67">
        <v>45925.383888888886</v>
      </c>
      <c r="B24" s="68">
        <v>106084386</v>
      </c>
      <c r="C24" s="68">
        <v>408647091</v>
      </c>
      <c r="D24" s="68">
        <v>27837961</v>
      </c>
      <c r="E24" s="66">
        <v>-3.6896911174455031E-2</v>
      </c>
      <c r="F24" s="68">
        <v>-21442440</v>
      </c>
      <c r="G24" s="68">
        <v>-130027880</v>
      </c>
      <c r="H24" s="68">
        <v>313985138</v>
      </c>
      <c r="I24" s="65" t="s">
        <v>316</v>
      </c>
      <c r="J24" s="65">
        <v>16.524999999999999</v>
      </c>
      <c r="K24" s="68">
        <v>-940425715</v>
      </c>
      <c r="L24" s="68">
        <v>-170489335</v>
      </c>
      <c r="M24" s="68">
        <v>-1066238765</v>
      </c>
      <c r="N24" s="75">
        <v>-3.6896911174455031E-2</v>
      </c>
      <c r="O24" s="75">
        <v>2.8099999999999997E-2</v>
      </c>
      <c r="P24" s="68">
        <v>56905875</v>
      </c>
      <c r="Q24" s="68">
        <v>-191837630</v>
      </c>
      <c r="R24" s="68">
        <v>-144103390</v>
      </c>
      <c r="U24" t="e">
        <f t="shared" si="0"/>
        <v>#VALUE!</v>
      </c>
      <c r="V24">
        <f t="shared" si="1"/>
        <v>0</v>
      </c>
    </row>
    <row r="25" spans="1:22" x14ac:dyDescent="0.25">
      <c r="A25" s="67">
        <v>45925.384236111109</v>
      </c>
      <c r="B25" s="68">
        <v>102703231</v>
      </c>
      <c r="C25" s="68">
        <v>463143191</v>
      </c>
      <c r="D25" s="68">
        <v>-14492163</v>
      </c>
      <c r="E25" s="66">
        <v>-3.4649700046011554E-2</v>
      </c>
      <c r="F25" s="68">
        <v>-54744402</v>
      </c>
      <c r="G25" s="68">
        <v>-132133655</v>
      </c>
      <c r="H25" s="68">
        <v>319390474</v>
      </c>
      <c r="I25" s="65" t="s">
        <v>316</v>
      </c>
      <c r="J25" s="65">
        <v>13.227</v>
      </c>
      <c r="K25" s="68">
        <v>-892866480</v>
      </c>
      <c r="L25" s="68">
        <v>-205268220</v>
      </c>
      <c r="M25" s="68">
        <v>-1057077005</v>
      </c>
      <c r="N25" s="75">
        <v>-3.4649700046011554E-2</v>
      </c>
      <c r="O25" s="75">
        <v>2.8099999999999997E-2</v>
      </c>
      <c r="P25" s="68">
        <v>53763850</v>
      </c>
      <c r="Q25" s="68">
        <v>-169627730</v>
      </c>
      <c r="R25" s="68">
        <v>-171425780</v>
      </c>
      <c r="U25" t="e">
        <f t="shared" si="0"/>
        <v>#VALUE!</v>
      </c>
      <c r="V25">
        <f t="shared" si="1"/>
        <v>0</v>
      </c>
    </row>
    <row r="26" spans="1:22" x14ac:dyDescent="0.25">
      <c r="A26" s="67">
        <v>45925.384594907409</v>
      </c>
      <c r="B26" s="68">
        <v>113560749</v>
      </c>
      <c r="C26" s="68">
        <v>454005538</v>
      </c>
      <c r="D26" s="68">
        <v>-19267107</v>
      </c>
      <c r="E26" s="66">
        <v>-3.5405996438696394E-2</v>
      </c>
      <c r="F26" s="68">
        <v>-42463489</v>
      </c>
      <c r="G26" s="68">
        <v>-129463636</v>
      </c>
      <c r="H26" s="68">
        <v>319064240</v>
      </c>
      <c r="I26" s="65" t="s">
        <v>316</v>
      </c>
      <c r="J26" s="65">
        <v>14.099</v>
      </c>
      <c r="K26" s="68">
        <v>-889032945</v>
      </c>
      <c r="L26" s="68">
        <v>-205960280</v>
      </c>
      <c r="M26" s="68">
        <v>-1079815135</v>
      </c>
      <c r="N26" s="75">
        <v>-3.5405996438696394E-2</v>
      </c>
      <c r="O26" s="75">
        <v>2.8599999999999997E-2</v>
      </c>
      <c r="P26" s="68">
        <v>45030825</v>
      </c>
      <c r="Q26" s="68">
        <v>-198862515</v>
      </c>
      <c r="R26" s="68">
        <v>-176963495</v>
      </c>
      <c r="U26" t="e">
        <f t="shared" si="0"/>
        <v>#VALUE!</v>
      </c>
      <c r="V26">
        <f t="shared" si="1"/>
        <v>0</v>
      </c>
    </row>
    <row r="27" spans="1:22" x14ac:dyDescent="0.25">
      <c r="A27" s="67">
        <v>45925.384942129633</v>
      </c>
      <c r="B27" s="68">
        <v>99170901</v>
      </c>
      <c r="C27" s="68">
        <v>408966112</v>
      </c>
      <c r="D27" s="68">
        <v>-24638763</v>
      </c>
      <c r="E27" s="66">
        <v>-3.5780528273902309E-2</v>
      </c>
      <c r="F27" s="68">
        <v>-58423948</v>
      </c>
      <c r="G27" s="68">
        <v>-129938282</v>
      </c>
      <c r="H27" s="68">
        <v>309094701</v>
      </c>
      <c r="I27" s="65" t="s">
        <v>316</v>
      </c>
      <c r="J27" s="65">
        <v>16.242000000000001</v>
      </c>
      <c r="K27" s="68">
        <v>-887755735</v>
      </c>
      <c r="L27" s="68">
        <v>-191477480</v>
      </c>
      <c r="M27" s="68">
        <v>-1086311395</v>
      </c>
      <c r="N27" s="75">
        <v>-3.5780528273902309E-2</v>
      </c>
      <c r="O27" s="75">
        <v>2.8599999999999997E-2</v>
      </c>
      <c r="P27" s="68">
        <v>43273765</v>
      </c>
      <c r="Q27" s="68">
        <v>-207594865</v>
      </c>
      <c r="R27" s="68">
        <v>-164556835</v>
      </c>
      <c r="U27" t="e">
        <f t="shared" si="0"/>
        <v>#VALUE!</v>
      </c>
      <c r="V27">
        <f t="shared" si="1"/>
        <v>0</v>
      </c>
    </row>
    <row r="28" spans="1:22" x14ac:dyDescent="0.25">
      <c r="A28" s="67">
        <v>45925.385289351849</v>
      </c>
      <c r="B28" s="68">
        <v>102494469</v>
      </c>
      <c r="C28" s="68">
        <v>385526235</v>
      </c>
      <c r="D28" s="68">
        <v>16131599</v>
      </c>
      <c r="E28" s="66">
        <v>-3.7273233132833608E-2</v>
      </c>
      <c r="F28" s="68">
        <v>-49196170</v>
      </c>
      <c r="G28" s="68">
        <v>-128929112</v>
      </c>
      <c r="H28" s="68">
        <v>312151290</v>
      </c>
      <c r="I28" s="65" t="s">
        <v>316</v>
      </c>
      <c r="J28" s="65">
        <v>16.829999999999998</v>
      </c>
      <c r="K28" s="68">
        <v>-862147375</v>
      </c>
      <c r="L28" s="68">
        <v>-192009860</v>
      </c>
      <c r="M28" s="68">
        <v>-1085512915</v>
      </c>
      <c r="N28" s="75">
        <v>-3.7273233132833608E-2</v>
      </c>
      <c r="O28" s="75">
        <v>2.7599999999999996E-2</v>
      </c>
      <c r="P28" s="68">
        <v>39813395</v>
      </c>
      <c r="Q28" s="68">
        <v>-209937550</v>
      </c>
      <c r="R28" s="68">
        <v>-165089030</v>
      </c>
      <c r="U28" t="e">
        <f t="shared" si="0"/>
        <v>#VALUE!</v>
      </c>
      <c r="V28">
        <f t="shared" si="1"/>
        <v>0</v>
      </c>
    </row>
    <row r="29" spans="1:22" x14ac:dyDescent="0.25">
      <c r="A29" s="67">
        <v>45925.385717592595</v>
      </c>
      <c r="B29" s="68">
        <v>183151372</v>
      </c>
      <c r="C29" s="68">
        <v>334041892</v>
      </c>
      <c r="D29" s="68">
        <v>-82972956</v>
      </c>
      <c r="E29" s="66">
        <v>-3.8029387608474637E-2</v>
      </c>
      <c r="F29" s="68">
        <v>-29287502</v>
      </c>
      <c r="G29" s="68">
        <v>-89787210</v>
      </c>
      <c r="H29" s="68">
        <v>266664710</v>
      </c>
      <c r="I29" s="65" t="s">
        <v>316</v>
      </c>
      <c r="J29" s="65">
        <v>24.611000000000001</v>
      </c>
      <c r="K29" s="68">
        <v>-826622780</v>
      </c>
      <c r="L29" s="68">
        <v>-245075980</v>
      </c>
      <c r="M29" s="68">
        <v>-1139195770</v>
      </c>
      <c r="N29" s="75">
        <v>-3.8029387608474637E-2</v>
      </c>
      <c r="O29" s="75">
        <v>2.7599999999999996E-2</v>
      </c>
      <c r="P29" s="68">
        <v>22346890</v>
      </c>
      <c r="Q29" s="68">
        <v>-225600005</v>
      </c>
      <c r="R29" s="68">
        <v>-193484465</v>
      </c>
      <c r="U29" t="e">
        <f t="shared" si="0"/>
        <v>#VALUE!</v>
      </c>
      <c r="V29">
        <f t="shared" si="1"/>
        <v>0</v>
      </c>
    </row>
    <row r="30" spans="1:22" x14ac:dyDescent="0.25">
      <c r="A30" s="67">
        <v>45925.386076388888</v>
      </c>
      <c r="B30" s="68">
        <v>87918299</v>
      </c>
      <c r="C30" s="68">
        <v>393364594</v>
      </c>
      <c r="D30" s="68">
        <v>20498658</v>
      </c>
      <c r="E30" s="66">
        <v>-3.9155685108113666E-2</v>
      </c>
      <c r="F30" s="68">
        <v>-16939538</v>
      </c>
      <c r="G30" s="68">
        <v>-132134746</v>
      </c>
      <c r="H30" s="68">
        <v>274505781</v>
      </c>
      <c r="I30" s="65" t="s">
        <v>316</v>
      </c>
      <c r="J30" s="65">
        <v>22.251000000000001</v>
      </c>
      <c r="K30" s="68">
        <v>-849578435</v>
      </c>
      <c r="L30" s="68">
        <v>-228671760</v>
      </c>
      <c r="M30" s="68">
        <v>-1162796480</v>
      </c>
      <c r="N30" s="75">
        <v>-3.9155685108113666E-2</v>
      </c>
      <c r="O30" s="75">
        <v>2.7599999999999996E-2</v>
      </c>
      <c r="P30" s="68">
        <v>23465355</v>
      </c>
      <c r="Q30" s="68">
        <v>-273270470</v>
      </c>
      <c r="R30" s="68">
        <v>-184642235</v>
      </c>
      <c r="U30" t="e">
        <f t="shared" si="0"/>
        <v>#VALUE!</v>
      </c>
      <c r="V30">
        <f t="shared" si="1"/>
        <v>0</v>
      </c>
    </row>
    <row r="31" spans="1:22" x14ac:dyDescent="0.25">
      <c r="A31" s="67">
        <v>45925.386724537035</v>
      </c>
      <c r="B31" s="68">
        <v>155236835</v>
      </c>
      <c r="C31" s="68">
        <v>451060238</v>
      </c>
      <c r="D31" s="68">
        <v>128214648</v>
      </c>
      <c r="E31" s="66">
        <v>-4.5944656918453661E-2</v>
      </c>
      <c r="F31" s="68">
        <v>-56955559</v>
      </c>
      <c r="G31" s="68">
        <v>-128100018</v>
      </c>
      <c r="H31" s="68">
        <v>317439309</v>
      </c>
      <c r="I31" s="65" t="s">
        <v>316</v>
      </c>
      <c r="J31" s="65">
        <v>32.024999999999999</v>
      </c>
      <c r="K31" s="68">
        <v>-850744805</v>
      </c>
      <c r="L31" s="68">
        <v>-248164900</v>
      </c>
      <c r="M31" s="68">
        <v>-1132805750</v>
      </c>
      <c r="N31" s="75">
        <v>-4.5944656918453661E-2</v>
      </c>
      <c r="O31" s="75">
        <v>2.7099999999999996E-2</v>
      </c>
      <c r="P31" s="68">
        <v>18672700</v>
      </c>
      <c r="Q31" s="68">
        <v>-311775815</v>
      </c>
      <c r="R31" s="68">
        <v>-199923755</v>
      </c>
      <c r="U31" t="e">
        <f t="shared" si="0"/>
        <v>#VALUE!</v>
      </c>
      <c r="V31">
        <f t="shared" si="1"/>
        <v>0</v>
      </c>
    </row>
    <row r="32" spans="1:22" x14ac:dyDescent="0.25">
      <c r="A32" s="67">
        <v>45925.387071759258</v>
      </c>
      <c r="B32" s="68">
        <v>165923983</v>
      </c>
      <c r="C32" s="68">
        <v>471695033</v>
      </c>
      <c r="D32" s="68">
        <v>160313071</v>
      </c>
      <c r="E32" s="66">
        <v>-4.631681918120014E-2</v>
      </c>
      <c r="F32" s="68">
        <v>-55321160</v>
      </c>
      <c r="G32" s="68">
        <v>-124745604</v>
      </c>
      <c r="H32" s="68">
        <v>328069738</v>
      </c>
      <c r="I32" s="65" t="s">
        <v>316</v>
      </c>
      <c r="J32" s="65">
        <v>34.368000000000002</v>
      </c>
      <c r="K32" s="68">
        <v>-782074070</v>
      </c>
      <c r="L32" s="68">
        <v>-137081210</v>
      </c>
      <c r="M32" s="68">
        <v>-1014308470</v>
      </c>
      <c r="N32" s="75">
        <v>-4.631681918120014E-2</v>
      </c>
      <c r="O32" s="75">
        <v>2.7099999999999996E-2</v>
      </c>
      <c r="P32" s="68">
        <v>26976255</v>
      </c>
      <c r="Q32" s="68">
        <v>-274407895</v>
      </c>
      <c r="R32" s="68">
        <v>-199028765</v>
      </c>
      <c r="U32" t="e">
        <f t="shared" si="0"/>
        <v>#VALUE!</v>
      </c>
      <c r="V32">
        <f t="shared" si="1"/>
        <v>0</v>
      </c>
    </row>
    <row r="33" spans="1:22" x14ac:dyDescent="0.25">
      <c r="A33" s="67">
        <v>45925.387418981481</v>
      </c>
      <c r="B33" s="68">
        <v>156630221</v>
      </c>
      <c r="C33" s="68">
        <v>493696113</v>
      </c>
      <c r="D33" s="68">
        <v>150603593</v>
      </c>
      <c r="E33" s="66">
        <v>-4.1471798534971439E-2</v>
      </c>
      <c r="F33" s="68">
        <v>-56627687</v>
      </c>
      <c r="G33" s="68">
        <v>-130773104</v>
      </c>
      <c r="H33" s="68">
        <v>324685176</v>
      </c>
      <c r="I33" s="65" t="s">
        <v>316</v>
      </c>
      <c r="J33" s="65">
        <v>35.186</v>
      </c>
      <c r="K33" s="68">
        <v>-356901305</v>
      </c>
      <c r="L33" s="68">
        <v>-197144685</v>
      </c>
      <c r="M33" s="68">
        <v>-638494155</v>
      </c>
      <c r="N33" s="75">
        <v>-4.1471798534971439E-2</v>
      </c>
      <c r="O33" s="75">
        <v>2.7099999999999996E-2</v>
      </c>
      <c r="P33" s="68">
        <v>2535465</v>
      </c>
      <c r="Q33" s="68">
        <v>-256201120</v>
      </c>
      <c r="R33" s="68">
        <v>-215800560</v>
      </c>
      <c r="U33" t="e">
        <f t="shared" si="0"/>
        <v>#VALUE!</v>
      </c>
      <c r="V33">
        <f t="shared" si="1"/>
        <v>0</v>
      </c>
    </row>
    <row r="34" spans="1:22" x14ac:dyDescent="0.25">
      <c r="A34" s="67">
        <v>45925.387766203705</v>
      </c>
      <c r="B34" s="68">
        <v>161706112</v>
      </c>
      <c r="C34" s="68">
        <v>508954310</v>
      </c>
      <c r="D34" s="68">
        <v>130269397</v>
      </c>
      <c r="E34" s="66">
        <v>-4.1471798534971439E-2</v>
      </c>
      <c r="F34" s="68">
        <v>-58349383</v>
      </c>
      <c r="G34" s="68">
        <v>-129912493</v>
      </c>
      <c r="H34" s="68">
        <v>310940601</v>
      </c>
      <c r="I34" s="65" t="s">
        <v>316</v>
      </c>
      <c r="J34" s="65">
        <v>33.174999999999997</v>
      </c>
      <c r="K34" s="68">
        <v>-350776965</v>
      </c>
      <c r="L34" s="68">
        <v>-202310735</v>
      </c>
      <c r="M34" s="68">
        <v>-630505580</v>
      </c>
      <c r="N34" s="75">
        <v>-4.1471798534971439E-2</v>
      </c>
      <c r="O34" s="75">
        <v>2.7099999999999996E-2</v>
      </c>
      <c r="P34" s="68">
        <v>-233790</v>
      </c>
      <c r="Q34" s="68">
        <v>-248372635</v>
      </c>
      <c r="R34" s="68">
        <v>-218303850</v>
      </c>
      <c r="U34" t="e">
        <f t="shared" ref="U34:U65" si="2">I34+J34</f>
        <v>#VALUE!</v>
      </c>
      <c r="V34">
        <f t="shared" ref="V34:V65" si="3">S34+T34</f>
        <v>0</v>
      </c>
    </row>
    <row r="35" spans="1:22" x14ac:dyDescent="0.25">
      <c r="A35" s="67">
        <v>45925.388113425928</v>
      </c>
      <c r="B35" s="68">
        <v>153748016</v>
      </c>
      <c r="C35" s="68">
        <v>496601996</v>
      </c>
      <c r="D35" s="68">
        <v>150877999</v>
      </c>
      <c r="E35" s="66">
        <v>-4.1471798534971439E-2</v>
      </c>
      <c r="F35" s="68">
        <v>-60605910</v>
      </c>
      <c r="G35" s="68">
        <v>-133000553</v>
      </c>
      <c r="H35" s="68">
        <v>322254109</v>
      </c>
      <c r="I35" s="65" t="s">
        <v>316</v>
      </c>
      <c r="J35" s="65">
        <v>34.128</v>
      </c>
      <c r="K35" s="68">
        <v>-344491985</v>
      </c>
      <c r="L35" s="68">
        <v>-186972040</v>
      </c>
      <c r="M35" s="68">
        <v>-636257535</v>
      </c>
      <c r="N35" s="75">
        <v>-4.1471798534971439E-2</v>
      </c>
      <c r="O35" s="75">
        <v>2.7099999999999996E-2</v>
      </c>
      <c r="P35" s="68">
        <v>-25053000</v>
      </c>
      <c r="Q35" s="68">
        <v>-240809505</v>
      </c>
      <c r="R35" s="68">
        <v>-208876840</v>
      </c>
      <c r="U35" t="e">
        <f t="shared" si="2"/>
        <v>#VALUE!</v>
      </c>
      <c r="V35">
        <f t="shared" si="3"/>
        <v>0</v>
      </c>
    </row>
    <row r="36" spans="1:22" x14ac:dyDescent="0.25">
      <c r="A36" s="67">
        <v>45925.388692129629</v>
      </c>
      <c r="B36" s="68">
        <v>174593554</v>
      </c>
      <c r="C36" s="68">
        <v>518540428</v>
      </c>
      <c r="D36" s="68">
        <v>209597085</v>
      </c>
      <c r="E36" s="66">
        <v>-4.1851305176337589E-2</v>
      </c>
      <c r="F36" s="68">
        <v>-77411003</v>
      </c>
      <c r="G36" s="68">
        <v>-122399310</v>
      </c>
      <c r="H36" s="68">
        <v>332444383</v>
      </c>
      <c r="I36" s="65" t="s">
        <v>316</v>
      </c>
      <c r="J36" s="65">
        <v>39.749000000000002</v>
      </c>
      <c r="K36" s="68">
        <v>-367336930</v>
      </c>
      <c r="L36" s="68">
        <v>-150544390</v>
      </c>
      <c r="M36" s="68">
        <v>-651701560</v>
      </c>
      <c r="N36" s="75">
        <v>-4.1851305176337589E-2</v>
      </c>
      <c r="O36" s="75">
        <v>2.7099999999999996E-2</v>
      </c>
      <c r="P36" s="68">
        <v>-42093640</v>
      </c>
      <c r="Q36" s="68">
        <v>-262056920</v>
      </c>
      <c r="R36" s="68">
        <v>-167388670</v>
      </c>
      <c r="U36" t="e">
        <f t="shared" si="2"/>
        <v>#VALUE!</v>
      </c>
      <c r="V36">
        <f t="shared" si="3"/>
        <v>0</v>
      </c>
    </row>
    <row r="37" spans="1:22" x14ac:dyDescent="0.25">
      <c r="A37" s="67">
        <v>45925.389039351852</v>
      </c>
      <c r="B37" s="68">
        <v>116771092</v>
      </c>
      <c r="C37" s="68">
        <v>524305436</v>
      </c>
      <c r="D37" s="68">
        <v>190351419</v>
      </c>
      <c r="E37" s="66">
        <v>-4.1853563092450627E-2</v>
      </c>
      <c r="F37" s="68">
        <v>-66660637</v>
      </c>
      <c r="G37" s="68">
        <v>-127092008</v>
      </c>
      <c r="H37" s="68">
        <v>319376511</v>
      </c>
      <c r="I37" s="65" t="s">
        <v>316</v>
      </c>
      <c r="J37" s="65">
        <v>40.030999999999999</v>
      </c>
      <c r="K37" s="68">
        <v>-370531915</v>
      </c>
      <c r="L37" s="68">
        <v>-148361125</v>
      </c>
      <c r="M37" s="68">
        <v>-653831565</v>
      </c>
      <c r="N37" s="75">
        <v>-4.1853563092450627E-2</v>
      </c>
      <c r="O37" s="75">
        <v>2.6599999999999995E-2</v>
      </c>
      <c r="P37" s="68">
        <v>-42413145</v>
      </c>
      <c r="Q37" s="68">
        <v>-264666175</v>
      </c>
      <c r="R37" s="68">
        <v>-166483390</v>
      </c>
      <c r="U37" t="e">
        <f t="shared" si="2"/>
        <v>#VALUE!</v>
      </c>
      <c r="V37">
        <f t="shared" si="3"/>
        <v>0</v>
      </c>
    </row>
    <row r="38" spans="1:22" x14ac:dyDescent="0.25">
      <c r="A38" s="67">
        <v>45925.389386574076</v>
      </c>
      <c r="B38" s="68">
        <v>109908725</v>
      </c>
      <c r="C38" s="68">
        <v>488930474</v>
      </c>
      <c r="D38" s="68">
        <v>251241598</v>
      </c>
      <c r="E38" s="66">
        <v>-4.1460082601696306E-2</v>
      </c>
      <c r="F38" s="68">
        <v>-64254794</v>
      </c>
      <c r="G38" s="68">
        <v>-134220381</v>
      </c>
      <c r="H38" s="68">
        <v>319437632</v>
      </c>
      <c r="I38" s="65" t="s">
        <v>316</v>
      </c>
      <c r="J38" s="65">
        <v>43.072000000000003</v>
      </c>
      <c r="K38" s="68">
        <v>-395077360</v>
      </c>
      <c r="L38" s="68">
        <v>-127700800</v>
      </c>
      <c r="M38" s="68">
        <v>-665598790</v>
      </c>
      <c r="N38" s="75">
        <v>-4.1460082601696306E-2</v>
      </c>
      <c r="O38" s="75">
        <v>2.4299999999999999E-2</v>
      </c>
      <c r="P38" s="68">
        <v>-44489900</v>
      </c>
      <c r="Q38" s="68">
        <v>-307210480</v>
      </c>
      <c r="R38" s="68">
        <v>-159454480</v>
      </c>
      <c r="U38" t="e">
        <f t="shared" si="2"/>
        <v>#VALUE!</v>
      </c>
      <c r="V38">
        <f t="shared" si="3"/>
        <v>0</v>
      </c>
    </row>
    <row r="39" spans="1:22" x14ac:dyDescent="0.25">
      <c r="A39" s="67">
        <v>45925.389733796299</v>
      </c>
      <c r="B39" s="68">
        <v>118700190</v>
      </c>
      <c r="C39" s="68">
        <v>532245812</v>
      </c>
      <c r="D39" s="68">
        <v>218341998</v>
      </c>
      <c r="E39" s="66">
        <v>-4.4085739081816892E-2</v>
      </c>
      <c r="F39" s="68">
        <v>-72453615</v>
      </c>
      <c r="G39" s="68">
        <v>-135052521</v>
      </c>
      <c r="H39" s="68">
        <v>274454733</v>
      </c>
      <c r="I39" s="65" t="s">
        <v>316</v>
      </c>
      <c r="J39" s="65">
        <v>60.539000000000001</v>
      </c>
      <c r="K39" s="68">
        <v>-404181400</v>
      </c>
      <c r="L39" s="68">
        <v>-155067540</v>
      </c>
      <c r="M39" s="68">
        <v>-647499755</v>
      </c>
      <c r="N39" s="75">
        <v>-4.4085739081816892E-2</v>
      </c>
      <c r="O39" s="75">
        <v>2.4299999999999999E-2</v>
      </c>
      <c r="P39" s="68">
        <v>-41935980</v>
      </c>
      <c r="Q39" s="68">
        <v>-316474155</v>
      </c>
      <c r="R39" s="68">
        <v>-170957420</v>
      </c>
      <c r="U39" t="e">
        <f t="shared" si="2"/>
        <v>#VALUE!</v>
      </c>
      <c r="V39">
        <f t="shared" si="3"/>
        <v>0</v>
      </c>
    </row>
    <row r="40" spans="1:22" x14ac:dyDescent="0.25">
      <c r="A40" s="67">
        <v>45925.390081018515</v>
      </c>
      <c r="B40" s="68">
        <v>204925951</v>
      </c>
      <c r="C40" s="68">
        <v>671739114</v>
      </c>
      <c r="D40" s="68">
        <v>1928466</v>
      </c>
      <c r="E40" s="66">
        <v>-4.4831124483706963E-2</v>
      </c>
      <c r="F40" s="68">
        <v>-65056167</v>
      </c>
      <c r="G40" s="68">
        <v>-95149606</v>
      </c>
      <c r="H40" s="68">
        <v>184591542</v>
      </c>
      <c r="I40" s="65" t="s">
        <v>316</v>
      </c>
      <c r="J40" s="65">
        <v>64.676000000000002</v>
      </c>
      <c r="K40" s="68">
        <v>-394066655</v>
      </c>
      <c r="L40" s="68">
        <v>-194142805</v>
      </c>
      <c r="M40" s="68">
        <v>-638981510</v>
      </c>
      <c r="N40" s="75">
        <v>-4.4831124483706963E-2</v>
      </c>
      <c r="O40" s="75">
        <v>2.4299999999999999E-2</v>
      </c>
      <c r="P40" s="68">
        <v>-46247800</v>
      </c>
      <c r="Q40" s="68">
        <v>-305614120</v>
      </c>
      <c r="R40" s="68">
        <v>-176334360</v>
      </c>
      <c r="U40" t="e">
        <f t="shared" si="2"/>
        <v>#VALUE!</v>
      </c>
      <c r="V40">
        <f t="shared" si="3"/>
        <v>0</v>
      </c>
    </row>
    <row r="41" spans="1:22" x14ac:dyDescent="0.25">
      <c r="A41" s="67">
        <v>45925.390451388892</v>
      </c>
      <c r="B41" s="68">
        <v>244633079</v>
      </c>
      <c r="C41" s="68">
        <v>657206527</v>
      </c>
      <c r="D41" s="68">
        <v>-79798906</v>
      </c>
      <c r="E41" s="66">
        <v>-4.5168568702450652E-2</v>
      </c>
      <c r="F41" s="68">
        <v>-50493946</v>
      </c>
      <c r="G41" s="68">
        <v>-82072099</v>
      </c>
      <c r="H41" s="68">
        <v>148126546</v>
      </c>
      <c r="I41" s="65" t="s">
        <v>316</v>
      </c>
      <c r="J41" s="65">
        <v>64.515000000000001</v>
      </c>
      <c r="K41" s="68">
        <v>-389755260</v>
      </c>
      <c r="L41" s="68">
        <v>-180781615</v>
      </c>
      <c r="M41" s="68">
        <v>-668738060</v>
      </c>
      <c r="N41" s="75">
        <v>-4.5168568702450652E-2</v>
      </c>
      <c r="O41" s="75">
        <v>2.4299999999999999E-2</v>
      </c>
      <c r="P41" s="68">
        <v>-45822165</v>
      </c>
      <c r="Q41" s="68">
        <v>-300397755</v>
      </c>
      <c r="R41" s="68">
        <v>-170052840</v>
      </c>
      <c r="U41" t="e">
        <f t="shared" si="2"/>
        <v>#VALUE!</v>
      </c>
      <c r="V41">
        <f t="shared" si="3"/>
        <v>0</v>
      </c>
    </row>
    <row r="42" spans="1:22" x14ac:dyDescent="0.25">
      <c r="A42" s="67">
        <v>45925.390798611108</v>
      </c>
      <c r="B42" s="68">
        <v>226085883</v>
      </c>
      <c r="C42" s="68">
        <v>662556138</v>
      </c>
      <c r="D42" s="68">
        <v>-82206408</v>
      </c>
      <c r="E42" s="66">
        <v>-4.5168568702450652E-2</v>
      </c>
      <c r="F42" s="68">
        <v>-53406478</v>
      </c>
      <c r="G42" s="68">
        <v>-91850831</v>
      </c>
      <c r="H42" s="68">
        <v>142568958</v>
      </c>
      <c r="I42" s="65" t="s">
        <v>316</v>
      </c>
      <c r="J42" s="65">
        <v>64.195999999999998</v>
      </c>
      <c r="K42" s="68">
        <v>-391458830</v>
      </c>
      <c r="L42" s="68">
        <v>-163694130</v>
      </c>
      <c r="M42" s="68">
        <v>-676563430</v>
      </c>
      <c r="N42" s="75">
        <v>-4.5168568702450652E-2</v>
      </c>
      <c r="O42" s="75">
        <v>2.4299999999999999E-2</v>
      </c>
      <c r="P42" s="68">
        <v>-44384880</v>
      </c>
      <c r="Q42" s="68">
        <v>-301249640</v>
      </c>
      <c r="R42" s="68">
        <v>-162280565</v>
      </c>
      <c r="U42" t="e">
        <f t="shared" si="2"/>
        <v>#VALUE!</v>
      </c>
      <c r="V42">
        <f t="shared" si="3"/>
        <v>0</v>
      </c>
    </row>
    <row r="43" spans="1:22" x14ac:dyDescent="0.25">
      <c r="A43" s="67">
        <v>45925.391041666669</v>
      </c>
      <c r="B43" s="68">
        <v>229146728</v>
      </c>
      <c r="C43" s="68">
        <v>658751520</v>
      </c>
      <c r="D43" s="68">
        <v>-132610708</v>
      </c>
      <c r="E43" s="66">
        <v>-4.3672574860474503E-2</v>
      </c>
      <c r="F43" s="68">
        <v>-52990428</v>
      </c>
      <c r="G43" s="68">
        <v>-90156968</v>
      </c>
      <c r="H43" s="68">
        <v>127977327</v>
      </c>
      <c r="I43" s="65" t="s">
        <v>316</v>
      </c>
      <c r="J43" s="65">
        <v>62.936999999999998</v>
      </c>
      <c r="K43" s="68">
        <v>-387093500</v>
      </c>
      <c r="L43" s="68">
        <v>-164173240</v>
      </c>
      <c r="M43" s="68">
        <v>-671665760</v>
      </c>
      <c r="N43" s="75">
        <v>-4.3672574860474503E-2</v>
      </c>
      <c r="O43" s="75">
        <v>2.4299999999999999E-2</v>
      </c>
      <c r="P43" s="68">
        <v>-45023700</v>
      </c>
      <c r="Q43" s="68">
        <v>-295926140</v>
      </c>
      <c r="R43" s="68">
        <v>-160310870</v>
      </c>
      <c r="S43" s="65">
        <v>-2.218</v>
      </c>
      <c r="T43" s="65">
        <v>-1.19</v>
      </c>
      <c r="U43" t="e">
        <f t="shared" si="2"/>
        <v>#VALUE!</v>
      </c>
      <c r="V43">
        <f t="shared" si="3"/>
        <v>-3.4079999999999999</v>
      </c>
    </row>
    <row r="44" spans="1:22" x14ac:dyDescent="0.25">
      <c r="A44" s="67">
        <v>45925.391145833331</v>
      </c>
      <c r="B44" s="68">
        <v>260536072</v>
      </c>
      <c r="C44" s="68">
        <v>648110186</v>
      </c>
      <c r="D44" s="68">
        <v>-151069939</v>
      </c>
      <c r="E44" s="66">
        <v>-4.3672574860474503E-2</v>
      </c>
      <c r="F44" s="68">
        <v>-50612615</v>
      </c>
      <c r="G44" s="68">
        <v>-75651256</v>
      </c>
      <c r="H44" s="68">
        <v>122389266</v>
      </c>
      <c r="I44" s="65" t="s">
        <v>316</v>
      </c>
      <c r="J44" s="65">
        <v>64.156000000000006</v>
      </c>
      <c r="K44" s="68">
        <v>-443421490</v>
      </c>
      <c r="L44" s="68">
        <v>-146177890</v>
      </c>
      <c r="M44" s="68">
        <v>-735926590</v>
      </c>
      <c r="N44" s="75">
        <v>-4.3672574860474503E-2</v>
      </c>
      <c r="O44" s="75">
        <v>2.4299999999999999E-2</v>
      </c>
      <c r="P44" s="68">
        <v>-49708875</v>
      </c>
      <c r="Q44" s="68">
        <v>-352573625</v>
      </c>
      <c r="R44" s="68">
        <v>-134595105</v>
      </c>
      <c r="S44" s="65">
        <v>-793</v>
      </c>
      <c r="T44" s="65">
        <v>-1.18</v>
      </c>
      <c r="U44" t="e">
        <f t="shared" si="2"/>
        <v>#VALUE!</v>
      </c>
      <c r="V44">
        <f t="shared" si="3"/>
        <v>-794.18</v>
      </c>
    </row>
    <row r="45" spans="1:22" x14ac:dyDescent="0.25">
      <c r="A45" s="67">
        <v>45925.391504629632</v>
      </c>
      <c r="B45" s="68">
        <v>239665020</v>
      </c>
      <c r="C45" s="68">
        <v>640920350</v>
      </c>
      <c r="D45" s="68">
        <v>-135078255</v>
      </c>
      <c r="E45" s="66">
        <v>-5.1870156002603862E-2</v>
      </c>
      <c r="F45" s="68">
        <v>-58847091</v>
      </c>
      <c r="G45" s="68">
        <v>-83173100</v>
      </c>
      <c r="H45" s="68">
        <v>118434942</v>
      </c>
      <c r="I45" s="65" t="s">
        <v>316</v>
      </c>
      <c r="J45" s="65">
        <v>67.331999999999994</v>
      </c>
      <c r="K45" s="68">
        <v>-450818220</v>
      </c>
      <c r="L45" s="68">
        <v>-95978050</v>
      </c>
      <c r="M45" s="68">
        <v>-737734320</v>
      </c>
      <c r="N45" s="75">
        <v>-5.1870156002603862E-2</v>
      </c>
      <c r="O45" s="75">
        <v>2.4299999999999999E-2</v>
      </c>
      <c r="P45" s="68">
        <v>-38423675</v>
      </c>
      <c r="Q45" s="68">
        <v>-373706380</v>
      </c>
      <c r="R45" s="68">
        <v>-109148080</v>
      </c>
      <c r="S45" s="65">
        <v>-2.3149999999999999</v>
      </c>
      <c r="T45" s="65">
        <v>-1.22</v>
      </c>
      <c r="U45" t="e">
        <f t="shared" si="2"/>
        <v>#VALUE!</v>
      </c>
      <c r="V45">
        <f t="shared" si="3"/>
        <v>-3.5350000000000001</v>
      </c>
    </row>
    <row r="46" spans="1:22" x14ac:dyDescent="0.25">
      <c r="A46" s="67">
        <v>45925.391921296294</v>
      </c>
      <c r="B46" s="68">
        <v>191134315</v>
      </c>
      <c r="C46" s="68">
        <v>747957259</v>
      </c>
      <c r="D46" s="68">
        <v>-346112661</v>
      </c>
      <c r="E46" s="66">
        <v>-5.2636076385235313E-2</v>
      </c>
      <c r="F46" s="68">
        <v>-25082349</v>
      </c>
      <c r="G46" s="68">
        <v>-123445963</v>
      </c>
      <c r="H46" s="68">
        <v>14111412</v>
      </c>
      <c r="I46" s="65" t="s">
        <v>316</v>
      </c>
      <c r="J46" s="65">
        <v>57.710999999999999</v>
      </c>
      <c r="K46" s="68">
        <v>-519103195</v>
      </c>
      <c r="L46" s="68">
        <v>-86338895</v>
      </c>
      <c r="M46" s="68">
        <v>-756159170</v>
      </c>
      <c r="N46" s="75">
        <v>-5.2636076385235313E-2</v>
      </c>
      <c r="O46" s="75">
        <v>2.4299999999999999E-2</v>
      </c>
      <c r="P46" s="68">
        <v>-28153670</v>
      </c>
      <c r="Q46" s="68">
        <v>-431188730</v>
      </c>
      <c r="R46" s="68">
        <v>-100835160</v>
      </c>
      <c r="S46" s="65">
        <v>-4.4169999999999998</v>
      </c>
      <c r="T46" s="65">
        <v>-1.0549999999999999</v>
      </c>
      <c r="U46" t="e">
        <f t="shared" si="2"/>
        <v>#VALUE!</v>
      </c>
      <c r="V46">
        <f t="shared" si="3"/>
        <v>-5.4719999999999995</v>
      </c>
    </row>
    <row r="47" spans="1:22" x14ac:dyDescent="0.25">
      <c r="A47" s="67">
        <v>45925.392268518517</v>
      </c>
      <c r="B47" s="68">
        <v>262815411</v>
      </c>
      <c r="C47" s="68">
        <v>738654197</v>
      </c>
      <c r="D47" s="68">
        <v>-430545974</v>
      </c>
      <c r="E47" s="66">
        <v>-5.4485174383063897E-2</v>
      </c>
      <c r="F47" s="68">
        <v>-3410252</v>
      </c>
      <c r="G47" s="68">
        <v>-86966136</v>
      </c>
      <c r="H47" s="68">
        <v>-11453948</v>
      </c>
      <c r="I47" s="65" t="s">
        <v>316</v>
      </c>
      <c r="J47" s="65">
        <v>62.508000000000003</v>
      </c>
      <c r="K47" s="68">
        <v>-545451095</v>
      </c>
      <c r="L47" s="68">
        <v>-92300455</v>
      </c>
      <c r="M47" s="68">
        <v>-787619230</v>
      </c>
      <c r="N47" s="75">
        <v>-5.4485174383063897E-2</v>
      </c>
      <c r="O47" s="75">
        <v>2.4299999999999999E-2</v>
      </c>
      <c r="P47" s="68">
        <v>-22937130</v>
      </c>
      <c r="Q47" s="68">
        <v>-430921705</v>
      </c>
      <c r="R47" s="68">
        <v>-97641085</v>
      </c>
      <c r="S47" s="65">
        <v>-4.423</v>
      </c>
      <c r="T47" s="65">
        <v>-1.06</v>
      </c>
      <c r="U47" t="e">
        <f t="shared" si="2"/>
        <v>#VALUE!</v>
      </c>
      <c r="V47">
        <f t="shared" si="3"/>
        <v>-5.4830000000000005</v>
      </c>
    </row>
    <row r="48" spans="1:22" x14ac:dyDescent="0.25">
      <c r="A48" s="67">
        <v>45925.39261574074</v>
      </c>
      <c r="B48" s="68">
        <v>279945179</v>
      </c>
      <c r="C48" s="68">
        <v>725035322</v>
      </c>
      <c r="D48" s="68">
        <v>-364229194</v>
      </c>
      <c r="E48" s="66">
        <v>-5.7067015501287163E-2</v>
      </c>
      <c r="F48" s="68">
        <v>-30590153</v>
      </c>
      <c r="G48" s="68">
        <v>-77360800</v>
      </c>
      <c r="H48" s="68">
        <v>-6278580</v>
      </c>
      <c r="I48" s="65" t="s">
        <v>316</v>
      </c>
      <c r="J48" s="65">
        <v>64.754999999999995</v>
      </c>
      <c r="K48" s="68">
        <v>-627637875</v>
      </c>
      <c r="L48" s="68">
        <v>-96983235</v>
      </c>
      <c r="M48" s="68">
        <v>-962311015</v>
      </c>
      <c r="N48" s="75">
        <v>-5.7067015501287163E-2</v>
      </c>
      <c r="O48" s="75">
        <v>2.4299999999999999E-2</v>
      </c>
      <c r="P48" s="68">
        <v>-16923365</v>
      </c>
      <c r="Q48" s="68">
        <v>-431294640</v>
      </c>
      <c r="R48" s="68">
        <v>-66451260</v>
      </c>
      <c r="S48" s="65">
        <v>-3.8319999999999999</v>
      </c>
      <c r="T48" s="65">
        <v>-885</v>
      </c>
      <c r="U48" t="e">
        <f t="shared" si="2"/>
        <v>#VALUE!</v>
      </c>
      <c r="V48">
        <f t="shared" si="3"/>
        <v>-888.83199999999999</v>
      </c>
    </row>
    <row r="49" spans="1:22" x14ac:dyDescent="0.25">
      <c r="A49" s="67">
        <v>45925.392962962964</v>
      </c>
      <c r="B49" s="68">
        <v>328025189</v>
      </c>
      <c r="C49" s="68">
        <v>739542629</v>
      </c>
      <c r="D49" s="68">
        <v>-592121566</v>
      </c>
      <c r="E49" s="66">
        <v>-5.4863103332421476E-2</v>
      </c>
      <c r="F49" s="68">
        <v>-768659</v>
      </c>
      <c r="G49" s="68">
        <v>-64932672</v>
      </c>
      <c r="H49" s="68">
        <v>-73263983</v>
      </c>
      <c r="I49" s="65" t="s">
        <v>316</v>
      </c>
      <c r="J49" s="65">
        <v>60.284999999999997</v>
      </c>
      <c r="K49" s="68">
        <v>-629281290</v>
      </c>
      <c r="L49" s="68">
        <v>-62814795</v>
      </c>
      <c r="M49" s="68">
        <v>-1073119575</v>
      </c>
      <c r="N49" s="75">
        <v>-5.4863103332421476E-2</v>
      </c>
      <c r="O49" s="75">
        <v>2.4499999999999997E-2</v>
      </c>
      <c r="P49" s="68">
        <v>16395340</v>
      </c>
      <c r="Q49" s="68">
        <v>-407714795</v>
      </c>
      <c r="R49" s="68">
        <v>-50590245</v>
      </c>
      <c r="S49" s="65">
        <v>-2.0270000000000001</v>
      </c>
      <c r="T49" s="65">
        <v>-700</v>
      </c>
      <c r="U49" t="e">
        <f t="shared" si="2"/>
        <v>#VALUE!</v>
      </c>
      <c r="V49">
        <f t="shared" si="3"/>
        <v>-702.02700000000004</v>
      </c>
    </row>
    <row r="50" spans="1:22" x14ac:dyDescent="0.25">
      <c r="A50" s="67">
        <v>45925.393310185187</v>
      </c>
      <c r="B50" s="68">
        <v>349048244</v>
      </c>
      <c r="C50" s="68">
        <v>739422269</v>
      </c>
      <c r="D50" s="68">
        <v>-671543929</v>
      </c>
      <c r="E50" s="66">
        <v>-4.9602808337889825E-2</v>
      </c>
      <c r="F50" s="68">
        <v>24555511</v>
      </c>
      <c r="G50" s="68">
        <v>-40379010</v>
      </c>
      <c r="H50" s="68">
        <v>-116243080</v>
      </c>
      <c r="I50" s="65" t="s">
        <v>316</v>
      </c>
      <c r="J50" s="65">
        <v>46.773000000000003</v>
      </c>
      <c r="K50" s="68">
        <v>-640618225</v>
      </c>
      <c r="L50" s="68">
        <v>-68403570</v>
      </c>
      <c r="M50" s="68">
        <v>-1069979245</v>
      </c>
      <c r="N50" s="75">
        <v>-4.9602808337889825E-2</v>
      </c>
      <c r="O50" s="75">
        <v>2.4499999999999997E-2</v>
      </c>
      <c r="P50" s="68">
        <v>21611460</v>
      </c>
      <c r="Q50" s="68">
        <v>-402871320</v>
      </c>
      <c r="R50" s="68">
        <v>-53570860</v>
      </c>
      <c r="S50" s="65">
        <v>-2.2290000000000001</v>
      </c>
      <c r="T50" s="65">
        <v>-720</v>
      </c>
      <c r="U50" t="e">
        <f t="shared" si="2"/>
        <v>#VALUE!</v>
      </c>
      <c r="V50">
        <f t="shared" si="3"/>
        <v>-722.22900000000004</v>
      </c>
    </row>
    <row r="51" spans="1:22" x14ac:dyDescent="0.25">
      <c r="A51" s="67">
        <v>45925.393657407411</v>
      </c>
      <c r="B51" s="68">
        <v>242367212</v>
      </c>
      <c r="C51" s="68">
        <v>597178135</v>
      </c>
      <c r="D51" s="68">
        <v>-640448838</v>
      </c>
      <c r="E51" s="66">
        <v>-4.9979733388002746E-2</v>
      </c>
      <c r="F51" s="68">
        <v>29785886</v>
      </c>
      <c r="G51" s="68">
        <v>-27902415</v>
      </c>
      <c r="H51" s="68">
        <v>-83130079</v>
      </c>
      <c r="I51" s="65" t="s">
        <v>316</v>
      </c>
      <c r="J51" s="65">
        <v>37.695</v>
      </c>
      <c r="K51" s="68">
        <v>-683675980</v>
      </c>
      <c r="L51" s="68">
        <v>-36151140</v>
      </c>
      <c r="M51" s="68">
        <v>-1083656500</v>
      </c>
      <c r="N51" s="75">
        <v>-4.9979733388002746E-2</v>
      </c>
      <c r="O51" s="75">
        <v>2.4499999999999997E-2</v>
      </c>
      <c r="P51" s="68">
        <v>21345985</v>
      </c>
      <c r="Q51" s="68">
        <v>-423467960</v>
      </c>
      <c r="R51" s="68">
        <v>-33346155</v>
      </c>
      <c r="S51" s="65">
        <v>-1.92</v>
      </c>
      <c r="T51" s="65">
        <v>-710</v>
      </c>
      <c r="U51" t="e">
        <f t="shared" si="2"/>
        <v>#VALUE!</v>
      </c>
      <c r="V51">
        <f t="shared" si="3"/>
        <v>-711.92</v>
      </c>
    </row>
    <row r="52" spans="1:22" x14ac:dyDescent="0.25">
      <c r="A52" s="67">
        <v>45925.394004629627</v>
      </c>
      <c r="B52" s="68">
        <v>420099128</v>
      </c>
      <c r="C52" s="68">
        <v>477836429</v>
      </c>
      <c r="D52" s="68">
        <v>-743377528</v>
      </c>
      <c r="E52" s="66">
        <v>-4.9228553718521813E-2</v>
      </c>
      <c r="F52" s="68">
        <v>39346928</v>
      </c>
      <c r="G52" s="68">
        <v>66473184</v>
      </c>
      <c r="H52" s="68">
        <v>-74876584</v>
      </c>
      <c r="I52" s="65" t="s">
        <v>316</v>
      </c>
      <c r="J52" s="65">
        <v>34.142000000000003</v>
      </c>
      <c r="K52" s="68">
        <v>-724799270</v>
      </c>
      <c r="L52" s="68">
        <v>52546525</v>
      </c>
      <c r="M52" s="68">
        <v>-1196195135</v>
      </c>
      <c r="N52" s="75">
        <v>-4.9228553718521813E-2</v>
      </c>
      <c r="O52" s="75">
        <v>2.4499999999999997E-2</v>
      </c>
      <c r="P52" s="68">
        <v>32411730</v>
      </c>
      <c r="Q52" s="68">
        <v>-455067845</v>
      </c>
      <c r="R52" s="68">
        <v>3047825</v>
      </c>
      <c r="S52" s="65">
        <v>-6.8650000000000002</v>
      </c>
      <c r="T52" s="65">
        <v>-955</v>
      </c>
      <c r="U52" t="e">
        <f t="shared" si="2"/>
        <v>#VALUE!</v>
      </c>
      <c r="V52">
        <f t="shared" si="3"/>
        <v>-961.86500000000001</v>
      </c>
    </row>
    <row r="53" spans="1:22" x14ac:dyDescent="0.25">
      <c r="A53" s="67">
        <v>45925.39435185185</v>
      </c>
      <c r="B53" s="68">
        <v>370275742</v>
      </c>
      <c r="C53" s="68">
        <v>482623655</v>
      </c>
      <c r="D53" s="68">
        <v>-762207300</v>
      </c>
      <c r="E53" s="66">
        <v>-5.5255648357254404E-2</v>
      </c>
      <c r="F53" s="68">
        <v>37499074</v>
      </c>
      <c r="G53" s="68">
        <v>70124913</v>
      </c>
      <c r="H53" s="68">
        <v>-77482332</v>
      </c>
      <c r="I53" s="65" t="s">
        <v>316</v>
      </c>
      <c r="J53" s="65">
        <v>16.891999999999999</v>
      </c>
      <c r="K53" s="68">
        <v>-819683990</v>
      </c>
      <c r="L53" s="68">
        <v>118501600</v>
      </c>
      <c r="M53" s="68">
        <v>-1270238335</v>
      </c>
      <c r="N53" s="75">
        <v>-5.5255648357254404E-2</v>
      </c>
      <c r="O53" s="75">
        <v>2.4299999999999999E-2</v>
      </c>
      <c r="P53" s="68">
        <v>50974530</v>
      </c>
      <c r="Q53" s="68">
        <v>-428312610</v>
      </c>
      <c r="R53" s="68">
        <v>25546285</v>
      </c>
      <c r="S53" s="65">
        <v>-9.0299999999999994</v>
      </c>
      <c r="T53" s="65">
        <v>-1.085</v>
      </c>
      <c r="U53" t="e">
        <f t="shared" si="2"/>
        <v>#VALUE!</v>
      </c>
      <c r="V53">
        <f t="shared" si="3"/>
        <v>-10.114999999999998</v>
      </c>
    </row>
    <row r="54" spans="1:22" x14ac:dyDescent="0.25">
      <c r="A54" s="67">
        <v>45925.394699074073</v>
      </c>
      <c r="B54" s="68">
        <v>315323514</v>
      </c>
      <c r="C54" s="68">
        <v>414816660</v>
      </c>
      <c r="D54" s="68">
        <v>-509079605</v>
      </c>
      <c r="E54" s="66">
        <v>-5.6353017404292029E-2</v>
      </c>
      <c r="F54" s="68">
        <v>-28030990</v>
      </c>
      <c r="G54" s="68">
        <v>61220443</v>
      </c>
      <c r="H54" s="68">
        <v>67676424</v>
      </c>
      <c r="I54" s="65" t="s">
        <v>316</v>
      </c>
      <c r="J54" s="65">
        <v>21.303999999999998</v>
      </c>
      <c r="K54" s="68">
        <v>-846487725</v>
      </c>
      <c r="L54" s="68">
        <v>96855035</v>
      </c>
      <c r="M54" s="68">
        <v>-1277845010</v>
      </c>
      <c r="N54" s="75">
        <v>-5.6353017404292029E-2</v>
      </c>
      <c r="O54" s="75">
        <v>2.4299999999999999E-2</v>
      </c>
      <c r="P54" s="68">
        <v>62781395</v>
      </c>
      <c r="Q54" s="68">
        <v>-452722850</v>
      </c>
      <c r="R54" s="68">
        <v>816610</v>
      </c>
      <c r="S54" s="65">
        <v>-8.8580000000000005</v>
      </c>
      <c r="T54" s="65">
        <v>-1.125</v>
      </c>
      <c r="U54" t="e">
        <f t="shared" si="2"/>
        <v>#VALUE!</v>
      </c>
      <c r="V54">
        <f t="shared" si="3"/>
        <v>-9.9830000000000005</v>
      </c>
    </row>
    <row r="55" spans="1:22" x14ac:dyDescent="0.25">
      <c r="A55" s="67">
        <v>45925.395046296297</v>
      </c>
      <c r="B55" s="68">
        <v>283516273</v>
      </c>
      <c r="C55" s="68">
        <v>493093088</v>
      </c>
      <c r="D55" s="68">
        <v>-432178166</v>
      </c>
      <c r="E55" s="66">
        <v>-5.9741016519434177E-2</v>
      </c>
      <c r="F55" s="68">
        <v>-57671465</v>
      </c>
      <c r="G55" s="68">
        <v>49233301</v>
      </c>
      <c r="H55" s="68">
        <v>133460629</v>
      </c>
      <c r="I55" s="65" t="s">
        <v>316</v>
      </c>
      <c r="J55" s="65">
        <v>23.088000000000001</v>
      </c>
      <c r="K55" s="68">
        <v>-825586210</v>
      </c>
      <c r="L55" s="68">
        <v>87069355</v>
      </c>
      <c r="M55" s="68">
        <v>-1264071260</v>
      </c>
      <c r="N55" s="75">
        <v>-5.9741016519434177E-2</v>
      </c>
      <c r="O55" s="75">
        <v>2.3799999999999998E-2</v>
      </c>
      <c r="P55" s="68">
        <v>62940860</v>
      </c>
      <c r="Q55" s="68">
        <v>-454584450</v>
      </c>
      <c r="R55" s="68">
        <v>-4074580</v>
      </c>
      <c r="S55" s="65">
        <v>-8.8059999999999992</v>
      </c>
      <c r="T55" s="65">
        <v>-1.145</v>
      </c>
      <c r="U55" t="e">
        <f t="shared" si="2"/>
        <v>#VALUE!</v>
      </c>
      <c r="V55">
        <f t="shared" si="3"/>
        <v>-9.9509999999999987</v>
      </c>
    </row>
    <row r="56" spans="1:22" x14ac:dyDescent="0.25">
      <c r="A56" s="67">
        <v>45925.39539351852</v>
      </c>
      <c r="B56" s="68">
        <v>169320710</v>
      </c>
      <c r="C56" s="68">
        <v>581682854</v>
      </c>
      <c r="D56" s="68">
        <v>-306209155</v>
      </c>
      <c r="E56" s="66">
        <v>-5.8983750606300948E-2</v>
      </c>
      <c r="F56" s="68">
        <v>-61113994</v>
      </c>
      <c r="G56" s="68">
        <v>-13011486</v>
      </c>
      <c r="H56" s="68">
        <v>177013520</v>
      </c>
      <c r="I56" s="65" t="s">
        <v>316</v>
      </c>
      <c r="J56" s="65">
        <v>20.494</v>
      </c>
      <c r="K56" s="68">
        <v>-1064314545</v>
      </c>
      <c r="L56" s="68">
        <v>407414960</v>
      </c>
      <c r="M56" s="68">
        <v>-1375728545</v>
      </c>
      <c r="N56" s="75">
        <v>-5.8983750606300948E-2</v>
      </c>
      <c r="O56" s="75">
        <v>2.3799999999999998E-2</v>
      </c>
      <c r="P56" s="68">
        <v>-148672885</v>
      </c>
      <c r="Q56" s="68">
        <v>-657587370</v>
      </c>
      <c r="R56" s="68">
        <v>166577780</v>
      </c>
      <c r="S56" s="65">
        <v>-15.356</v>
      </c>
      <c r="T56" s="65">
        <v>-1.27</v>
      </c>
      <c r="U56" t="e">
        <f t="shared" si="2"/>
        <v>#VALUE!</v>
      </c>
      <c r="V56">
        <f t="shared" si="3"/>
        <v>-16.626000000000001</v>
      </c>
    </row>
    <row r="57" spans="1:22" x14ac:dyDescent="0.25">
      <c r="A57" s="67">
        <v>45925.395752314813</v>
      </c>
      <c r="B57" s="68">
        <v>135150786</v>
      </c>
      <c r="C57" s="68">
        <v>551844406</v>
      </c>
      <c r="D57" s="68">
        <v>-258513181</v>
      </c>
      <c r="E57" s="66">
        <v>-6.0740730799378952E-2</v>
      </c>
      <c r="F57" s="68">
        <v>-43909213</v>
      </c>
      <c r="G57" s="68">
        <v>-39470121</v>
      </c>
      <c r="H57" s="68">
        <v>178855814</v>
      </c>
      <c r="I57" s="65" t="s">
        <v>316</v>
      </c>
      <c r="J57" s="65">
        <v>17.529</v>
      </c>
      <c r="K57" s="68">
        <v>-1023875150</v>
      </c>
      <c r="L57" s="68">
        <v>447855180</v>
      </c>
      <c r="M57" s="68">
        <v>-1293078275</v>
      </c>
      <c r="N57" s="75">
        <v>-6.0740730799378952E-2</v>
      </c>
      <c r="O57" s="75">
        <v>2.3799999999999998E-2</v>
      </c>
      <c r="P57" s="68">
        <v>-158934410</v>
      </c>
      <c r="Q57" s="68">
        <v>-787268580</v>
      </c>
      <c r="R57" s="68">
        <v>194964180</v>
      </c>
      <c r="S57" s="65">
        <v>-13.709</v>
      </c>
      <c r="T57" s="65">
        <v>-1.17</v>
      </c>
      <c r="U57" t="e">
        <f t="shared" si="2"/>
        <v>#VALUE!</v>
      </c>
      <c r="V57">
        <f t="shared" si="3"/>
        <v>-14.879</v>
      </c>
    </row>
    <row r="58" spans="1:22" x14ac:dyDescent="0.25">
      <c r="A58" s="67">
        <v>45925.396099537036</v>
      </c>
      <c r="B58" s="68">
        <v>148049306</v>
      </c>
      <c r="C58" s="68">
        <v>577679406</v>
      </c>
      <c r="D58" s="68">
        <v>-218581896</v>
      </c>
      <c r="E58" s="66">
        <v>-5.2246827068258887E-2</v>
      </c>
      <c r="F58" s="68">
        <v>-40914714</v>
      </c>
      <c r="G58" s="68">
        <v>-31761067</v>
      </c>
      <c r="H58" s="68">
        <v>206990819</v>
      </c>
      <c r="I58" s="65" t="s">
        <v>316</v>
      </c>
      <c r="J58" s="65">
        <v>12.585000000000001</v>
      </c>
      <c r="K58" s="68">
        <v>-1036648765</v>
      </c>
      <c r="L58" s="68">
        <v>444969835</v>
      </c>
      <c r="M58" s="68">
        <v>-1315038175</v>
      </c>
      <c r="N58" s="75">
        <v>-5.2246827068258887E-2</v>
      </c>
      <c r="O58" s="75">
        <v>2.3799999999999998E-2</v>
      </c>
      <c r="P58" s="68">
        <v>-168458100</v>
      </c>
      <c r="Q58" s="68">
        <v>-811052725</v>
      </c>
      <c r="R58" s="68">
        <v>192353885</v>
      </c>
      <c r="S58" s="65">
        <v>-10.906000000000001</v>
      </c>
      <c r="T58" s="65">
        <v>-1.17</v>
      </c>
      <c r="U58" t="e">
        <f t="shared" si="2"/>
        <v>#VALUE!</v>
      </c>
      <c r="V58">
        <f t="shared" si="3"/>
        <v>-12.076000000000001</v>
      </c>
    </row>
    <row r="59" spans="1:22" x14ac:dyDescent="0.25">
      <c r="A59" s="67">
        <v>45925.39644675926</v>
      </c>
      <c r="B59" s="68">
        <v>131047179</v>
      </c>
      <c r="C59" s="68">
        <v>506432129</v>
      </c>
      <c r="D59" s="68">
        <v>-253558803</v>
      </c>
      <c r="E59" s="66">
        <v>-4.9315102326918957E-2</v>
      </c>
      <c r="F59" s="68">
        <v>-29976484</v>
      </c>
      <c r="G59" s="68">
        <v>-39949821</v>
      </c>
      <c r="H59" s="68">
        <v>285728955</v>
      </c>
      <c r="I59" s="65" t="s">
        <v>316</v>
      </c>
      <c r="J59" s="65">
        <v>9.234</v>
      </c>
      <c r="K59" s="68">
        <v>-1095465135</v>
      </c>
      <c r="L59" s="68">
        <v>452349765</v>
      </c>
      <c r="M59" s="68">
        <v>-1228937645</v>
      </c>
      <c r="N59" s="75">
        <v>-4.9315102326918957E-2</v>
      </c>
      <c r="O59" s="75">
        <v>4.99E-2</v>
      </c>
      <c r="P59" s="68">
        <v>-156537135</v>
      </c>
      <c r="Q59" s="68">
        <v>-814550870</v>
      </c>
      <c r="R59" s="68">
        <v>171603485</v>
      </c>
      <c r="S59" s="65">
        <v>-9.4290000000000003</v>
      </c>
      <c r="T59" s="65">
        <v>-1.18</v>
      </c>
      <c r="U59" t="e">
        <f t="shared" si="2"/>
        <v>#VALUE!</v>
      </c>
      <c r="V59">
        <f t="shared" si="3"/>
        <v>-10.609</v>
      </c>
    </row>
    <row r="60" spans="1:22" x14ac:dyDescent="0.25">
      <c r="A60" s="67">
        <v>45925.396793981483</v>
      </c>
      <c r="B60" s="68">
        <v>109927199</v>
      </c>
      <c r="C60" s="68">
        <v>438227409</v>
      </c>
      <c r="D60" s="68">
        <v>-312953628</v>
      </c>
      <c r="E60" s="66">
        <v>-4.5996793216373157E-2</v>
      </c>
      <c r="F60" s="68">
        <v>-38871509</v>
      </c>
      <c r="G60" s="68">
        <v>-37906542</v>
      </c>
      <c r="H60" s="68">
        <v>281884788</v>
      </c>
      <c r="I60" s="65" t="s">
        <v>316</v>
      </c>
      <c r="J60" s="65">
        <v>13.49</v>
      </c>
      <c r="K60" s="68">
        <v>-1092766605</v>
      </c>
      <c r="L60" s="68">
        <v>464886460</v>
      </c>
      <c r="M60" s="68">
        <v>-1209193055</v>
      </c>
      <c r="N60" s="75">
        <v>-4.5996793216373157E-2</v>
      </c>
      <c r="O60" s="75">
        <v>4.99E-2</v>
      </c>
      <c r="P60" s="68">
        <v>-165314485</v>
      </c>
      <c r="Q60" s="68">
        <v>-817635545</v>
      </c>
      <c r="R60" s="68">
        <v>188473770</v>
      </c>
      <c r="S60" s="65">
        <v>-11.712999999999999</v>
      </c>
      <c r="T60" s="65">
        <v>-1.0049999999999999</v>
      </c>
      <c r="U60" t="e">
        <f t="shared" si="2"/>
        <v>#VALUE!</v>
      </c>
      <c r="V60">
        <f t="shared" si="3"/>
        <v>-12.718</v>
      </c>
    </row>
    <row r="61" spans="1:22" x14ac:dyDescent="0.25">
      <c r="A61" s="67">
        <v>45925.397245370368</v>
      </c>
      <c r="B61" s="68">
        <v>121460570</v>
      </c>
      <c r="C61" s="68">
        <v>401448881</v>
      </c>
      <c r="D61" s="68">
        <v>-277000864</v>
      </c>
      <c r="E61" s="66">
        <v>-3.8539305850556496E-2</v>
      </c>
      <c r="F61" s="68">
        <v>-46433538</v>
      </c>
      <c r="G61" s="68">
        <v>-32865507</v>
      </c>
      <c r="H61" s="68">
        <v>308043352</v>
      </c>
      <c r="I61" s="65" t="s">
        <v>316</v>
      </c>
      <c r="J61" s="65">
        <v>12.042999999999999</v>
      </c>
      <c r="K61" s="68">
        <v>-1133913285</v>
      </c>
      <c r="L61" s="68">
        <v>481411325</v>
      </c>
      <c r="M61" s="68">
        <v>-1065281110</v>
      </c>
      <c r="N61" s="75">
        <v>-3.8539305850556496E-2</v>
      </c>
      <c r="O61" s="75">
        <v>4.87E-2</v>
      </c>
      <c r="P61" s="68">
        <v>-179319400</v>
      </c>
      <c r="Q61" s="68">
        <v>-842501615</v>
      </c>
      <c r="R61" s="68">
        <v>139765810</v>
      </c>
      <c r="S61" s="65">
        <v>-7.258</v>
      </c>
      <c r="T61" s="65">
        <v>-940</v>
      </c>
      <c r="U61" t="e">
        <f t="shared" si="2"/>
        <v>#VALUE!</v>
      </c>
      <c r="V61">
        <f t="shared" si="3"/>
        <v>-947.25800000000004</v>
      </c>
    </row>
    <row r="62" spans="1:22" x14ac:dyDescent="0.25">
      <c r="A62" s="67">
        <v>45925.397592592592</v>
      </c>
      <c r="B62" s="68">
        <v>134330962</v>
      </c>
      <c r="C62" s="68">
        <v>398069695</v>
      </c>
      <c r="D62" s="68">
        <v>-295714688</v>
      </c>
      <c r="E62" s="66">
        <v>-3.7040921235649622E-2</v>
      </c>
      <c r="F62" s="68">
        <v>-51534265</v>
      </c>
      <c r="G62" s="68">
        <v>-27764700</v>
      </c>
      <c r="H62" s="68">
        <v>305877912</v>
      </c>
      <c r="I62" s="65" t="s">
        <v>316</v>
      </c>
      <c r="J62" s="65">
        <v>11.180999999999999</v>
      </c>
      <c r="K62" s="68">
        <v>-1182211630</v>
      </c>
      <c r="L62" s="68">
        <v>484871325</v>
      </c>
      <c r="M62" s="68">
        <v>-1133123725</v>
      </c>
      <c r="N62" s="75">
        <v>-3.7040921235649622E-2</v>
      </c>
      <c r="O62" s="75">
        <v>4.87E-2</v>
      </c>
      <c r="P62" s="68">
        <v>-179318760</v>
      </c>
      <c r="Q62" s="68">
        <v>-908373240</v>
      </c>
      <c r="R62" s="68">
        <v>182424025</v>
      </c>
      <c r="S62" s="65">
        <v>-4.766</v>
      </c>
      <c r="T62" s="65">
        <v>-820</v>
      </c>
      <c r="U62" t="e">
        <f t="shared" si="2"/>
        <v>#VALUE!</v>
      </c>
      <c r="V62">
        <f t="shared" si="3"/>
        <v>-824.76599999999996</v>
      </c>
    </row>
    <row r="63" spans="1:22" x14ac:dyDescent="0.25">
      <c r="A63" s="67">
        <v>45925.397939814815</v>
      </c>
      <c r="B63" s="68">
        <v>124396833</v>
      </c>
      <c r="C63" s="68">
        <v>382765395</v>
      </c>
      <c r="D63" s="68">
        <v>-289451859</v>
      </c>
      <c r="E63" s="66">
        <v>-3.7067815955477701E-2</v>
      </c>
      <c r="F63" s="68">
        <v>-51890624</v>
      </c>
      <c r="G63" s="68">
        <v>-35207602</v>
      </c>
      <c r="H63" s="68">
        <v>310507085</v>
      </c>
      <c r="I63" s="65" t="s">
        <v>316</v>
      </c>
      <c r="J63" s="65">
        <v>10.962999999999999</v>
      </c>
      <c r="K63" s="68">
        <v>-1224123930</v>
      </c>
      <c r="L63" s="68">
        <v>505646805</v>
      </c>
      <c r="M63" s="68">
        <v>-1192081890</v>
      </c>
      <c r="N63" s="75">
        <v>-3.7067815955477701E-2</v>
      </c>
      <c r="O63" s="75">
        <v>4.87E-2</v>
      </c>
      <c r="P63" s="68">
        <v>-176178585</v>
      </c>
      <c r="Q63" s="68">
        <v>-932447215</v>
      </c>
      <c r="R63" s="68">
        <v>214654410</v>
      </c>
      <c r="S63" s="65">
        <v>-3.371</v>
      </c>
      <c r="T63" s="65">
        <v>-695</v>
      </c>
      <c r="U63" t="e">
        <f t="shared" si="2"/>
        <v>#VALUE!</v>
      </c>
      <c r="V63">
        <f t="shared" si="3"/>
        <v>-698.37099999999998</v>
      </c>
    </row>
    <row r="64" spans="1:22" x14ac:dyDescent="0.25">
      <c r="A64" s="67">
        <v>45925.398287037038</v>
      </c>
      <c r="B64" s="68">
        <v>156241897</v>
      </c>
      <c r="C64" s="68">
        <v>384217063</v>
      </c>
      <c r="D64" s="68">
        <v>-311660480</v>
      </c>
      <c r="E64" s="66">
        <v>-3.6643710471221967E-2</v>
      </c>
      <c r="F64" s="68">
        <v>-55566927</v>
      </c>
      <c r="G64" s="68">
        <v>-17357505</v>
      </c>
      <c r="H64" s="68">
        <v>299477183</v>
      </c>
      <c r="I64" s="65" t="s">
        <v>316</v>
      </c>
      <c r="J64" s="65">
        <v>10.468999999999999</v>
      </c>
      <c r="K64" s="68">
        <v>-1191033780</v>
      </c>
      <c r="L64" s="68">
        <v>541867100</v>
      </c>
      <c r="M64" s="68">
        <v>-1183287190</v>
      </c>
      <c r="N64" s="75">
        <v>-3.6643710471221967E-2</v>
      </c>
      <c r="O64" s="75">
        <v>4.87E-2</v>
      </c>
      <c r="P64" s="68">
        <v>-166961115</v>
      </c>
      <c r="Q64" s="68">
        <v>-999895985</v>
      </c>
      <c r="R64" s="68">
        <v>242408415</v>
      </c>
      <c r="S64" s="65">
        <v>-1.143</v>
      </c>
      <c r="T64" s="65">
        <v>-630</v>
      </c>
      <c r="U64" t="e">
        <f t="shared" si="2"/>
        <v>#VALUE!</v>
      </c>
      <c r="V64">
        <f t="shared" si="3"/>
        <v>-631.14300000000003</v>
      </c>
    </row>
    <row r="65" spans="1:22" x14ac:dyDescent="0.25">
      <c r="A65" s="67">
        <v>45925.398634259262</v>
      </c>
      <c r="B65" s="68">
        <v>171072117</v>
      </c>
      <c r="C65" s="68">
        <v>349803515</v>
      </c>
      <c r="D65" s="68">
        <v>-278580837</v>
      </c>
      <c r="E65" s="66">
        <v>-3.9642685743609893E-2</v>
      </c>
      <c r="F65" s="68">
        <v>-55656164</v>
      </c>
      <c r="G65" s="68">
        <v>-11988640</v>
      </c>
      <c r="H65" s="68">
        <v>322647113</v>
      </c>
      <c r="I65" s="65" t="s">
        <v>316</v>
      </c>
      <c r="J65" s="65">
        <v>17.495000000000001</v>
      </c>
      <c r="K65" s="68">
        <v>-1193058975</v>
      </c>
      <c r="L65" s="68">
        <v>501810730</v>
      </c>
      <c r="M65" s="68">
        <v>-1152400175</v>
      </c>
      <c r="N65" s="75">
        <v>-3.9642685743609893E-2</v>
      </c>
      <c r="O65" s="75">
        <v>5.16E-2</v>
      </c>
      <c r="P65" s="68">
        <v>-122270245</v>
      </c>
      <c r="Q65" s="68">
        <v>-1003682965</v>
      </c>
      <c r="R65" s="68">
        <v>247995020</v>
      </c>
      <c r="S65" s="65">
        <v>-1.3220000000000001</v>
      </c>
      <c r="T65" s="65">
        <v>-600</v>
      </c>
      <c r="U65" t="e">
        <f t="shared" si="2"/>
        <v>#VALUE!</v>
      </c>
      <c r="V65">
        <f t="shared" si="3"/>
        <v>-601.322</v>
      </c>
    </row>
    <row r="66" spans="1:22" x14ac:dyDescent="0.25">
      <c r="A66" s="67">
        <v>45925.398981481485</v>
      </c>
      <c r="B66" s="68">
        <v>155732033</v>
      </c>
      <c r="C66" s="68">
        <v>324796500</v>
      </c>
      <c r="D66" s="68">
        <v>-144523994</v>
      </c>
      <c r="E66" s="66">
        <v>-3.8890461994528315E-2</v>
      </c>
      <c r="F66" s="68">
        <v>-47203928</v>
      </c>
      <c r="G66" s="68">
        <v>-21156954</v>
      </c>
      <c r="H66" s="68">
        <v>337539072</v>
      </c>
      <c r="I66" s="65" t="s">
        <v>316</v>
      </c>
      <c r="J66" s="65">
        <v>19.731000000000002</v>
      </c>
      <c r="K66" s="68">
        <v>-1144644555</v>
      </c>
      <c r="L66" s="68">
        <v>435923525</v>
      </c>
      <c r="M66" s="68">
        <v>-1116074405</v>
      </c>
      <c r="N66" s="75">
        <v>-3.8890461994528315E-2</v>
      </c>
      <c r="O66" s="75">
        <v>5.16E-2</v>
      </c>
      <c r="P66" s="68">
        <v>-147354685</v>
      </c>
      <c r="Q66" s="68">
        <v>-1035793980</v>
      </c>
      <c r="R66" s="68">
        <v>227967225</v>
      </c>
      <c r="S66" s="65">
        <v>-1.1240000000000001</v>
      </c>
      <c r="T66" s="65">
        <v>-565</v>
      </c>
      <c r="U66" t="e">
        <f t="shared" ref="U66:U97" si="4">I66+J66</f>
        <v>#VALUE!</v>
      </c>
      <c r="V66">
        <f t="shared" ref="V66:V97" si="5">S66+T66</f>
        <v>-566.12400000000002</v>
      </c>
    </row>
    <row r="67" spans="1:22" x14ac:dyDescent="0.25">
      <c r="A67" s="67">
        <v>45925.399328703701</v>
      </c>
      <c r="B67" s="68">
        <v>167657023</v>
      </c>
      <c r="C67" s="68">
        <v>322570381</v>
      </c>
      <c r="D67" s="68">
        <v>-179820460</v>
      </c>
      <c r="E67" s="66">
        <v>-3.8897529157309943E-2</v>
      </c>
      <c r="F67" s="68">
        <v>-31809851</v>
      </c>
      <c r="G67" s="68">
        <v>-17597128</v>
      </c>
      <c r="H67" s="68">
        <v>322382870</v>
      </c>
      <c r="I67" s="65" t="s">
        <v>316</v>
      </c>
      <c r="J67" s="65">
        <v>18.937000000000001</v>
      </c>
      <c r="K67" s="68">
        <v>-1116251675</v>
      </c>
      <c r="L67" s="68">
        <v>406995345</v>
      </c>
      <c r="M67" s="68">
        <v>-1078570980</v>
      </c>
      <c r="N67" s="75">
        <v>-3.8897529157309943E-2</v>
      </c>
      <c r="O67" s="75">
        <v>5.11E-2</v>
      </c>
      <c r="P67" s="68">
        <v>-128284220</v>
      </c>
      <c r="Q67" s="68">
        <v>-1021411660</v>
      </c>
      <c r="R67" s="68">
        <v>204420290</v>
      </c>
      <c r="S67" s="65">
        <v>-853</v>
      </c>
      <c r="T67" s="65">
        <v>-540</v>
      </c>
      <c r="U67" t="e">
        <f t="shared" si="4"/>
        <v>#VALUE!</v>
      </c>
      <c r="V67">
        <f t="shared" si="5"/>
        <v>-1393</v>
      </c>
    </row>
    <row r="68" spans="1:22" x14ac:dyDescent="0.25">
      <c r="A68" s="67">
        <v>45925.399675925924</v>
      </c>
      <c r="B68" s="68">
        <v>157215245</v>
      </c>
      <c r="C68" s="68">
        <v>320730259</v>
      </c>
      <c r="D68" s="68">
        <v>-136275218</v>
      </c>
      <c r="E68" s="66">
        <v>-4.0365526698405922E-2</v>
      </c>
      <c r="F68" s="68">
        <v>-27715724</v>
      </c>
      <c r="G68" s="68">
        <v>-20148267</v>
      </c>
      <c r="H68" s="68">
        <v>327336853</v>
      </c>
      <c r="I68" s="65" t="s">
        <v>316</v>
      </c>
      <c r="J68" s="65">
        <v>18.777000000000001</v>
      </c>
      <c r="K68" s="68">
        <v>-1104638245</v>
      </c>
      <c r="L68" s="68">
        <v>304137470</v>
      </c>
      <c r="M68" s="68">
        <v>-991479010</v>
      </c>
      <c r="N68" s="75">
        <v>-4.0365526698405922E-2</v>
      </c>
      <c r="O68" s="75">
        <v>5.11E-2</v>
      </c>
      <c r="P68" s="68">
        <v>-126153305</v>
      </c>
      <c r="Q68" s="68">
        <v>-1011236275</v>
      </c>
      <c r="R68" s="68">
        <v>183113085</v>
      </c>
      <c r="S68" s="65">
        <v>121</v>
      </c>
      <c r="T68" s="65">
        <v>-535</v>
      </c>
      <c r="U68" t="e">
        <f t="shared" si="4"/>
        <v>#VALUE!</v>
      </c>
      <c r="V68">
        <f t="shared" si="5"/>
        <v>-414</v>
      </c>
    </row>
    <row r="69" spans="1:22" x14ac:dyDescent="0.25">
      <c r="A69" s="67">
        <v>45925.400023148148</v>
      </c>
      <c r="B69" s="68">
        <v>201228514</v>
      </c>
      <c r="C69" s="68">
        <v>385656252</v>
      </c>
      <c r="D69" s="68">
        <v>-173601883</v>
      </c>
      <c r="E69" s="66">
        <v>-3.9242892571262469E-2</v>
      </c>
      <c r="F69" s="68">
        <v>-32491551</v>
      </c>
      <c r="G69" s="68">
        <v>-22374016</v>
      </c>
      <c r="H69" s="68">
        <v>333009857</v>
      </c>
      <c r="I69" s="65" t="s">
        <v>316</v>
      </c>
      <c r="J69" s="65">
        <v>16.515000000000001</v>
      </c>
      <c r="K69" s="68">
        <v>-1047006950</v>
      </c>
      <c r="L69" s="68">
        <v>239573780</v>
      </c>
      <c r="M69" s="68">
        <v>-954932040</v>
      </c>
      <c r="N69" s="75">
        <v>-3.9242892571262469E-2</v>
      </c>
      <c r="O69" s="75">
        <v>5.21E-2</v>
      </c>
      <c r="P69" s="68">
        <v>-125355765</v>
      </c>
      <c r="Q69" s="68">
        <v>-949981945</v>
      </c>
      <c r="R69" s="68">
        <v>149920845</v>
      </c>
      <c r="S69" s="65">
        <v>1.9930000000000001</v>
      </c>
      <c r="T69" s="65">
        <v>-505</v>
      </c>
      <c r="U69" t="e">
        <f t="shared" si="4"/>
        <v>#VALUE!</v>
      </c>
      <c r="V69">
        <f t="shared" si="5"/>
        <v>-503.00700000000001</v>
      </c>
    </row>
    <row r="70" spans="1:22" x14ac:dyDescent="0.25">
      <c r="A70" s="67">
        <v>45925.400370370371</v>
      </c>
      <c r="B70" s="68">
        <v>194434170</v>
      </c>
      <c r="C70" s="68">
        <v>463809278</v>
      </c>
      <c r="D70" s="68">
        <v>-197030067</v>
      </c>
      <c r="E70" s="66">
        <v>-3.5899182986974892E-2</v>
      </c>
      <c r="F70" s="68">
        <v>-28605219</v>
      </c>
      <c r="G70" s="68">
        <v>-58264305</v>
      </c>
      <c r="H70" s="68">
        <v>323194764</v>
      </c>
      <c r="I70" s="65" t="s">
        <v>316</v>
      </c>
      <c r="J70" s="65">
        <v>14.651</v>
      </c>
      <c r="K70" s="68">
        <v>-1039706510</v>
      </c>
      <c r="L70" s="68">
        <v>228220860</v>
      </c>
      <c r="M70" s="68">
        <v>-991065260</v>
      </c>
      <c r="N70" s="75">
        <v>-3.5899182986974892E-2</v>
      </c>
      <c r="O70" s="75">
        <v>5.21E-2</v>
      </c>
      <c r="P70" s="68">
        <v>-139157815</v>
      </c>
      <c r="Q70" s="68">
        <v>-957441195</v>
      </c>
      <c r="R70" s="68">
        <v>151306630</v>
      </c>
      <c r="S70" s="65">
        <v>6.8869999999999996</v>
      </c>
      <c r="T70" s="65">
        <v>-390</v>
      </c>
      <c r="U70" t="e">
        <f t="shared" si="4"/>
        <v>#VALUE!</v>
      </c>
      <c r="V70">
        <f t="shared" si="5"/>
        <v>-383.113</v>
      </c>
    </row>
    <row r="71" spans="1:22" x14ac:dyDescent="0.25">
      <c r="A71" s="67">
        <v>45925.400717592594</v>
      </c>
      <c r="B71" s="68">
        <v>158165494</v>
      </c>
      <c r="C71" s="68">
        <v>504378414</v>
      </c>
      <c r="D71" s="68">
        <v>-150525837</v>
      </c>
      <c r="E71" s="66">
        <v>-2.7421039395860235E-2</v>
      </c>
      <c r="F71" s="68">
        <v>-45004930</v>
      </c>
      <c r="G71" s="68">
        <v>-77747764</v>
      </c>
      <c r="H71" s="68">
        <v>345022802</v>
      </c>
      <c r="I71" s="65" t="s">
        <v>316</v>
      </c>
      <c r="J71" s="65">
        <v>-17.574999999999999</v>
      </c>
      <c r="K71" s="68">
        <v>-1016414600</v>
      </c>
      <c r="L71" s="68">
        <v>311113155</v>
      </c>
      <c r="M71" s="68">
        <v>-1067775795</v>
      </c>
      <c r="N71" s="75">
        <v>-2.7421039395860235E-2</v>
      </c>
      <c r="O71" s="75">
        <v>5.0900000000000001E-2</v>
      </c>
      <c r="P71" s="68">
        <v>-124070905</v>
      </c>
      <c r="Q71" s="68">
        <v>-940332560</v>
      </c>
      <c r="R71" s="68">
        <v>221511315</v>
      </c>
      <c r="S71" s="65">
        <v>14.741</v>
      </c>
      <c r="T71" s="65">
        <v>-460</v>
      </c>
      <c r="U71" t="e">
        <f t="shared" si="4"/>
        <v>#VALUE!</v>
      </c>
      <c r="V71">
        <f t="shared" si="5"/>
        <v>-445.25900000000001</v>
      </c>
    </row>
    <row r="72" spans="1:22" x14ac:dyDescent="0.25">
      <c r="A72" s="67">
        <v>45925.401064814818</v>
      </c>
      <c r="B72" s="68">
        <v>115572873</v>
      </c>
      <c r="C72" s="68">
        <v>474970773</v>
      </c>
      <c r="D72" s="68">
        <v>-98053694</v>
      </c>
      <c r="E72" s="66">
        <v>-2.6676437654529102E-2</v>
      </c>
      <c r="F72" s="68">
        <v>-46991855</v>
      </c>
      <c r="G72" s="68">
        <v>-98791928</v>
      </c>
      <c r="H72" s="68">
        <v>349323341</v>
      </c>
      <c r="I72" s="65" t="s">
        <v>316</v>
      </c>
      <c r="J72" s="65">
        <v>-33.835000000000001</v>
      </c>
      <c r="K72" s="68">
        <v>-957226995</v>
      </c>
      <c r="L72" s="68">
        <v>265152715</v>
      </c>
      <c r="M72" s="68">
        <v>-1026346770</v>
      </c>
      <c r="N72" s="75">
        <v>-2.6676437654529102E-2</v>
      </c>
      <c r="O72" s="75">
        <v>5.0900000000000001E-2</v>
      </c>
      <c r="P72" s="68">
        <v>-142682455</v>
      </c>
      <c r="Q72" s="68">
        <v>-961024670</v>
      </c>
      <c r="R72" s="68">
        <v>205841025</v>
      </c>
      <c r="S72" s="65">
        <v>15.598000000000001</v>
      </c>
      <c r="T72" s="65">
        <v>-480</v>
      </c>
      <c r="U72" t="e">
        <f t="shared" si="4"/>
        <v>#VALUE!</v>
      </c>
      <c r="V72">
        <f t="shared" si="5"/>
        <v>-464.40199999999999</v>
      </c>
    </row>
    <row r="73" spans="1:22" x14ac:dyDescent="0.25">
      <c r="A73" s="67">
        <v>45925.401412037034</v>
      </c>
      <c r="B73" s="68">
        <v>58022590</v>
      </c>
      <c r="C73" s="68">
        <v>474663691</v>
      </c>
      <c r="D73" s="68">
        <v>-159172931</v>
      </c>
      <c r="E73" s="66">
        <v>-2.6676437654529102E-2</v>
      </c>
      <c r="F73" s="68">
        <v>-25421442</v>
      </c>
      <c r="G73" s="68">
        <v>-95619753</v>
      </c>
      <c r="H73" s="68">
        <v>343522970</v>
      </c>
      <c r="I73" s="65" t="s">
        <v>316</v>
      </c>
      <c r="J73" s="65">
        <v>-44.938000000000002</v>
      </c>
      <c r="K73" s="68">
        <v>-970614970</v>
      </c>
      <c r="L73" s="68">
        <v>246589015</v>
      </c>
      <c r="M73" s="68">
        <v>-1039946170</v>
      </c>
      <c r="N73" s="75">
        <v>-2.6676437654529102E-2</v>
      </c>
      <c r="O73" s="75">
        <v>5.2999999999999999E-2</v>
      </c>
      <c r="P73" s="68">
        <v>-147536855</v>
      </c>
      <c r="Q73" s="68">
        <v>-934252245</v>
      </c>
      <c r="R73" s="68">
        <v>208664360</v>
      </c>
      <c r="S73" s="65">
        <v>20.265999999999998</v>
      </c>
      <c r="T73" s="65">
        <v>-455</v>
      </c>
      <c r="U73" t="e">
        <f t="shared" si="4"/>
        <v>#VALUE!</v>
      </c>
      <c r="V73">
        <f t="shared" si="5"/>
        <v>-434.73399999999998</v>
      </c>
    </row>
    <row r="74" spans="1:22" x14ac:dyDescent="0.25">
      <c r="A74" s="67">
        <v>45925.401759259257</v>
      </c>
      <c r="B74" s="68">
        <v>43680004</v>
      </c>
      <c r="C74" s="68">
        <v>448816366</v>
      </c>
      <c r="D74" s="68">
        <v>-290309851</v>
      </c>
      <c r="E74" s="66">
        <v>-2.2915234536927273E-2</v>
      </c>
      <c r="F74" s="68">
        <v>-11643786</v>
      </c>
      <c r="G74" s="68">
        <v>-98732154</v>
      </c>
      <c r="H74" s="68">
        <v>313411868</v>
      </c>
      <c r="I74" s="65" t="s">
        <v>316</v>
      </c>
      <c r="J74" s="65">
        <v>-39.161999999999999</v>
      </c>
      <c r="K74" s="68">
        <v>-965707940</v>
      </c>
      <c r="L74" s="68">
        <v>254481570</v>
      </c>
      <c r="M74" s="68">
        <v>-1027039265</v>
      </c>
      <c r="N74" s="75">
        <v>-2.2915234536927273E-2</v>
      </c>
      <c r="O74" s="75">
        <v>5.2999999999999999E-2</v>
      </c>
      <c r="P74" s="68">
        <v>-140390680</v>
      </c>
      <c r="Q74" s="68">
        <v>-936065300</v>
      </c>
      <c r="R74" s="68">
        <v>208397535</v>
      </c>
      <c r="S74" s="65">
        <v>19.798999999999999</v>
      </c>
      <c r="T74" s="65">
        <v>-420</v>
      </c>
      <c r="U74" t="e">
        <f t="shared" si="4"/>
        <v>#VALUE!</v>
      </c>
      <c r="V74">
        <f t="shared" si="5"/>
        <v>-400.20100000000002</v>
      </c>
    </row>
    <row r="75" spans="1:22" x14ac:dyDescent="0.25">
      <c r="A75" s="67">
        <v>45925.402106481481</v>
      </c>
      <c r="B75" s="68">
        <v>27120770</v>
      </c>
      <c r="C75" s="68">
        <v>413635524</v>
      </c>
      <c r="D75" s="68">
        <v>-235753333</v>
      </c>
      <c r="E75" s="66">
        <v>-1.5430273639833602E-2</v>
      </c>
      <c r="F75" s="68">
        <v>-6965009</v>
      </c>
      <c r="G75" s="68">
        <v>-105959004</v>
      </c>
      <c r="H75" s="68">
        <v>355616637</v>
      </c>
      <c r="I75" s="65" t="s">
        <v>316</v>
      </c>
      <c r="J75" s="65">
        <v>-46.646999999999998</v>
      </c>
      <c r="K75" s="68">
        <v>-975406580</v>
      </c>
      <c r="L75" s="68">
        <v>229942035</v>
      </c>
      <c r="M75" s="68">
        <v>-1098407865</v>
      </c>
      <c r="N75" s="75">
        <v>-1.5430273639833602E-2</v>
      </c>
      <c r="O75" s="75">
        <v>5.33E-2</v>
      </c>
      <c r="P75" s="68">
        <v>-107056810</v>
      </c>
      <c r="Q75" s="68">
        <v>-923472355</v>
      </c>
      <c r="R75" s="68">
        <v>209091850</v>
      </c>
      <c r="S75" s="65">
        <v>18.149999999999999</v>
      </c>
      <c r="T75" s="65">
        <v>-510</v>
      </c>
      <c r="U75" t="e">
        <f t="shared" si="4"/>
        <v>#VALUE!</v>
      </c>
      <c r="V75">
        <f t="shared" si="5"/>
        <v>-491.85</v>
      </c>
    </row>
    <row r="76" spans="1:22" x14ac:dyDescent="0.25">
      <c r="A76" s="67">
        <v>45925.402453703704</v>
      </c>
      <c r="B76" s="68">
        <v>-1520957</v>
      </c>
      <c r="C76" s="68">
        <v>398818330</v>
      </c>
      <c r="D76" s="68">
        <v>-157797633</v>
      </c>
      <c r="E76" s="66">
        <v>-1.3912752552222686E-2</v>
      </c>
      <c r="F76" s="68">
        <v>-151243</v>
      </c>
      <c r="G76" s="68">
        <v>-119908972</v>
      </c>
      <c r="H76" s="68">
        <v>391421665</v>
      </c>
      <c r="I76" s="65" t="s">
        <v>316</v>
      </c>
      <c r="J76" s="65">
        <v>-58.725000000000001</v>
      </c>
      <c r="K76" s="68">
        <v>-971350975</v>
      </c>
      <c r="L76" s="68">
        <v>226313265</v>
      </c>
      <c r="M76" s="68">
        <v>-1096219450</v>
      </c>
      <c r="N76" s="75">
        <v>-1.3912752552222686E-2</v>
      </c>
      <c r="O76" s="75">
        <v>5.33E-2</v>
      </c>
      <c r="P76" s="68">
        <v>-104816455</v>
      </c>
      <c r="Q76" s="68">
        <v>-925445865</v>
      </c>
      <c r="R76" s="68">
        <v>204343000</v>
      </c>
      <c r="S76" s="65">
        <v>19.044</v>
      </c>
      <c r="T76" s="65">
        <v>-470</v>
      </c>
      <c r="U76" t="e">
        <f t="shared" si="4"/>
        <v>#VALUE!</v>
      </c>
      <c r="V76">
        <f t="shared" si="5"/>
        <v>-450.95600000000002</v>
      </c>
    </row>
    <row r="77" spans="1:22" x14ac:dyDescent="0.25">
      <c r="A77" s="67">
        <v>45925.402800925927</v>
      </c>
      <c r="B77" s="68">
        <v>-53236886</v>
      </c>
      <c r="C77" s="68">
        <v>410432786</v>
      </c>
      <c r="D77" s="68">
        <v>-37173814</v>
      </c>
      <c r="E77" s="66">
        <v>-1.4294628766048404E-2</v>
      </c>
      <c r="F77" s="68">
        <v>-13765955</v>
      </c>
      <c r="G77" s="68">
        <v>-134708189</v>
      </c>
      <c r="H77" s="68">
        <v>418327455</v>
      </c>
      <c r="I77" s="65" t="s">
        <v>316</v>
      </c>
      <c r="J77" s="65">
        <v>-51.500999999999998</v>
      </c>
      <c r="K77" s="68">
        <v>-981642595</v>
      </c>
      <c r="L77" s="68">
        <v>220974020</v>
      </c>
      <c r="M77" s="68">
        <v>-1124755690</v>
      </c>
      <c r="N77" s="75">
        <v>-1.4294628766048404E-2</v>
      </c>
      <c r="O77" s="75">
        <v>5.33E-2</v>
      </c>
      <c r="P77" s="68">
        <v>-108283320</v>
      </c>
      <c r="Q77" s="68">
        <v>-917496610</v>
      </c>
      <c r="R77" s="68">
        <v>216288795</v>
      </c>
      <c r="S77" s="65">
        <v>17.722999999999999</v>
      </c>
      <c r="T77" s="65">
        <v>-520</v>
      </c>
      <c r="U77" t="e">
        <f t="shared" si="4"/>
        <v>#VALUE!</v>
      </c>
      <c r="V77">
        <f t="shared" si="5"/>
        <v>-502.27699999999999</v>
      </c>
    </row>
    <row r="78" spans="1:22" x14ac:dyDescent="0.25">
      <c r="A78" s="67">
        <v>45925.403194444443</v>
      </c>
      <c r="B78" s="68">
        <v>-43853998</v>
      </c>
      <c r="C78" s="68">
        <v>269241579</v>
      </c>
      <c r="D78" s="68">
        <v>-35182120</v>
      </c>
      <c r="E78" s="66">
        <v>-6.4938321071078935E-3</v>
      </c>
      <c r="F78" s="68">
        <v>15201058</v>
      </c>
      <c r="G78" s="68">
        <v>-129231835</v>
      </c>
      <c r="H78" s="68">
        <v>436477821</v>
      </c>
      <c r="I78" s="65" t="s">
        <v>316</v>
      </c>
      <c r="J78" s="65">
        <v>-47.728000000000002</v>
      </c>
      <c r="K78" s="68">
        <v>-990977525</v>
      </c>
      <c r="L78" s="68">
        <v>261511075</v>
      </c>
      <c r="M78" s="68">
        <v>-1126193785</v>
      </c>
      <c r="N78" s="75">
        <v>-6.4938321071078935E-3</v>
      </c>
      <c r="O78" s="75">
        <v>5.33E-2</v>
      </c>
      <c r="P78" s="68">
        <v>-71950295</v>
      </c>
      <c r="Q78" s="68">
        <v>-1011169490</v>
      </c>
      <c r="R78" s="68">
        <v>251280430</v>
      </c>
      <c r="S78" s="65">
        <v>17.359000000000002</v>
      </c>
      <c r="T78" s="65">
        <v>-525</v>
      </c>
      <c r="U78" t="e">
        <f t="shared" si="4"/>
        <v>#VALUE!</v>
      </c>
      <c r="V78">
        <f t="shared" si="5"/>
        <v>-507.64100000000002</v>
      </c>
    </row>
    <row r="79" spans="1:22" x14ac:dyDescent="0.25">
      <c r="A79" s="67">
        <v>45925.403564814813</v>
      </c>
      <c r="B79" s="68">
        <v>-61136211</v>
      </c>
      <c r="C79" s="68">
        <v>230394224</v>
      </c>
      <c r="D79" s="68">
        <v>55192159</v>
      </c>
      <c r="E79" s="66">
        <v>-8.382095925722647E-3</v>
      </c>
      <c r="F79" s="68">
        <v>42633227</v>
      </c>
      <c r="G79" s="68">
        <v>-138256414</v>
      </c>
      <c r="H79" s="68">
        <v>477432414</v>
      </c>
      <c r="I79" s="65" t="s">
        <v>316</v>
      </c>
      <c r="J79" s="65">
        <v>-40.558999999999997</v>
      </c>
      <c r="K79" s="68">
        <v>-943187090</v>
      </c>
      <c r="L79" s="68">
        <v>261617425</v>
      </c>
      <c r="M79" s="68">
        <v>-1138247110</v>
      </c>
      <c r="N79" s="75">
        <v>-8.382095925722647E-3</v>
      </c>
      <c r="O79" s="75">
        <v>5.2999999999999999E-2</v>
      </c>
      <c r="P79" s="68">
        <v>-64268535</v>
      </c>
      <c r="Q79" s="68">
        <v>-1001464215</v>
      </c>
      <c r="R79" s="68">
        <v>226582680</v>
      </c>
      <c r="S79" s="65">
        <v>16</v>
      </c>
      <c r="T79" s="65">
        <v>-500</v>
      </c>
      <c r="U79" t="e">
        <f t="shared" si="4"/>
        <v>#VALUE!</v>
      </c>
      <c r="V79">
        <f t="shared" si="5"/>
        <v>-484</v>
      </c>
    </row>
    <row r="80" spans="1:22" x14ac:dyDescent="0.25">
      <c r="A80" s="67">
        <v>45925.403912037036</v>
      </c>
      <c r="B80" s="68">
        <v>-73948663</v>
      </c>
      <c r="C80" s="68">
        <v>260506264</v>
      </c>
      <c r="D80" s="68">
        <v>54631401</v>
      </c>
      <c r="E80" s="66">
        <v>-8.382095925722647E-3</v>
      </c>
      <c r="F80" s="68">
        <v>30805867</v>
      </c>
      <c r="G80" s="68">
        <v>-146716720</v>
      </c>
      <c r="H80" s="68">
        <v>485507102</v>
      </c>
      <c r="I80" s="65" t="s">
        <v>316</v>
      </c>
      <c r="J80" s="65">
        <v>-39.366999999999997</v>
      </c>
      <c r="K80" s="68">
        <v>-1009377435</v>
      </c>
      <c r="L80" s="68">
        <v>248491160</v>
      </c>
      <c r="M80" s="68">
        <v>-1151951210</v>
      </c>
      <c r="N80" s="75">
        <v>-8.382095925722647E-3</v>
      </c>
      <c r="O80" s="75">
        <v>5.2999999999999999E-2</v>
      </c>
      <c r="P80" s="68">
        <v>-61602815</v>
      </c>
      <c r="Q80" s="68">
        <v>-1027120775</v>
      </c>
      <c r="R80" s="68">
        <v>186254365</v>
      </c>
      <c r="S80" s="65">
        <v>15.657</v>
      </c>
      <c r="T80" s="65">
        <v>-505</v>
      </c>
      <c r="U80" t="e">
        <f t="shared" si="4"/>
        <v>#VALUE!</v>
      </c>
      <c r="V80">
        <f t="shared" si="5"/>
        <v>-489.34300000000002</v>
      </c>
    </row>
    <row r="81" spans="1:22" x14ac:dyDescent="0.25">
      <c r="A81" s="67">
        <v>45925.404282407406</v>
      </c>
      <c r="B81" s="68">
        <v>-51746738</v>
      </c>
      <c r="C81" s="68">
        <v>192834027</v>
      </c>
      <c r="D81" s="68">
        <v>149104516</v>
      </c>
      <c r="E81" s="66">
        <v>-1.1330745727573118E-2</v>
      </c>
      <c r="F81" s="68">
        <v>25630525</v>
      </c>
      <c r="G81" s="68">
        <v>-134447345</v>
      </c>
      <c r="H81" s="68">
        <v>517851116</v>
      </c>
      <c r="I81" s="65" t="s">
        <v>316</v>
      </c>
      <c r="J81" s="65">
        <v>-44.854999999999997</v>
      </c>
      <c r="K81" s="68">
        <v>-1083198035</v>
      </c>
      <c r="L81" s="68">
        <v>301298050</v>
      </c>
      <c r="M81" s="68">
        <v>-1184222110</v>
      </c>
      <c r="N81" s="75">
        <v>-1.1330745727573118E-2</v>
      </c>
      <c r="O81" s="75">
        <v>9.2399999999999996E-2</v>
      </c>
      <c r="P81" s="68">
        <v>-66457885</v>
      </c>
      <c r="Q81" s="68">
        <v>-1071454700</v>
      </c>
      <c r="R81" s="68">
        <v>192013170</v>
      </c>
      <c r="S81" s="65">
        <v>17.692</v>
      </c>
      <c r="T81" s="65">
        <v>-410</v>
      </c>
      <c r="U81" t="e">
        <f t="shared" si="4"/>
        <v>#VALUE!</v>
      </c>
      <c r="V81">
        <f t="shared" si="5"/>
        <v>-392.30799999999999</v>
      </c>
    </row>
    <row r="82" spans="1:22" x14ac:dyDescent="0.25">
      <c r="A82" s="67">
        <v>45925.404641203706</v>
      </c>
      <c r="B82" s="68">
        <v>-5211288</v>
      </c>
      <c r="C82" s="68">
        <v>133591049</v>
      </c>
      <c r="D82" s="68">
        <v>258735969</v>
      </c>
      <c r="E82" s="66">
        <v>-9.842405029068118E-3</v>
      </c>
      <c r="F82" s="68">
        <v>-9350422</v>
      </c>
      <c r="G82" s="68">
        <v>-110854513</v>
      </c>
      <c r="H82" s="68">
        <v>565925474</v>
      </c>
      <c r="I82" s="65" t="s">
        <v>316</v>
      </c>
      <c r="J82" s="65">
        <v>-44.703000000000003</v>
      </c>
      <c r="K82" s="68">
        <v>-1078662435</v>
      </c>
      <c r="L82" s="68">
        <v>266471925</v>
      </c>
      <c r="M82" s="68">
        <v>-1159902225</v>
      </c>
      <c r="N82" s="75">
        <v>-9.842405029068118E-3</v>
      </c>
      <c r="O82" s="75">
        <v>9.2799999999999994E-2</v>
      </c>
      <c r="P82" s="68">
        <v>-76057935</v>
      </c>
      <c r="Q82" s="68">
        <v>-1087666395</v>
      </c>
      <c r="R82" s="68">
        <v>153720385</v>
      </c>
      <c r="S82" s="65">
        <v>19.613</v>
      </c>
      <c r="T82" s="65">
        <v>-375</v>
      </c>
      <c r="U82" t="e">
        <f t="shared" si="4"/>
        <v>#VALUE!</v>
      </c>
      <c r="V82">
        <f t="shared" si="5"/>
        <v>-355.387</v>
      </c>
    </row>
    <row r="83" spans="1:22" x14ac:dyDescent="0.25">
      <c r="A83" s="67">
        <v>45925.405034722222</v>
      </c>
      <c r="B83" s="68">
        <v>77757018</v>
      </c>
      <c r="C83" s="68">
        <v>101538034</v>
      </c>
      <c r="D83" s="68">
        <v>280885419</v>
      </c>
      <c r="E83" s="66">
        <v>-6.1321341212942984E-3</v>
      </c>
      <c r="F83" s="68">
        <v>-364012</v>
      </c>
      <c r="G83" s="68">
        <v>-95776668</v>
      </c>
      <c r="H83" s="68">
        <v>548838763</v>
      </c>
      <c r="I83" s="65" t="s">
        <v>316</v>
      </c>
      <c r="J83" s="65">
        <v>-42.128999999999998</v>
      </c>
      <c r="K83" s="68">
        <v>-1030575900</v>
      </c>
      <c r="L83" s="68">
        <v>248760670</v>
      </c>
      <c r="M83" s="68">
        <v>-1066739440</v>
      </c>
      <c r="N83" s="75">
        <v>-6.1321341212942984E-3</v>
      </c>
      <c r="O83" s="75">
        <v>9.2799999999999994E-2</v>
      </c>
      <c r="P83" s="68">
        <v>-74246800</v>
      </c>
      <c r="Q83" s="68">
        <v>-1128567585</v>
      </c>
      <c r="R83" s="68">
        <v>118683075</v>
      </c>
      <c r="S83" s="65">
        <v>20.283000000000001</v>
      </c>
      <c r="T83" s="65">
        <v>-445</v>
      </c>
      <c r="U83" t="e">
        <f t="shared" si="4"/>
        <v>#VALUE!</v>
      </c>
      <c r="V83">
        <f t="shared" si="5"/>
        <v>-424.71699999999998</v>
      </c>
    </row>
    <row r="84" spans="1:22" x14ac:dyDescent="0.25">
      <c r="A84" s="67">
        <v>45925.405381944445</v>
      </c>
      <c r="B84" s="68">
        <v>41484023</v>
      </c>
      <c r="C84" s="68">
        <v>57048124</v>
      </c>
      <c r="D84" s="68">
        <v>501777279</v>
      </c>
      <c r="E84" s="66">
        <v>-5.7526274799280155E-3</v>
      </c>
      <c r="F84" s="68">
        <v>-4031067</v>
      </c>
      <c r="G84" s="68">
        <v>-109345163</v>
      </c>
      <c r="H84" s="68">
        <v>664718829</v>
      </c>
      <c r="I84" s="65" t="s">
        <v>316</v>
      </c>
      <c r="J84" s="65">
        <v>-40.878</v>
      </c>
      <c r="K84" s="68">
        <v>-1061576125</v>
      </c>
      <c r="L84" s="68">
        <v>319564465</v>
      </c>
      <c r="M84" s="68">
        <v>-1100568270</v>
      </c>
      <c r="N84" s="75">
        <v>-5.7526274799280155E-3</v>
      </c>
      <c r="O84" s="75">
        <v>9.2799999999999994E-2</v>
      </c>
      <c r="P84" s="68">
        <v>-72859940</v>
      </c>
      <c r="Q84" s="68">
        <v>-1156952410</v>
      </c>
      <c r="R84" s="68">
        <v>192957260</v>
      </c>
      <c r="S84" s="65">
        <v>20.417000000000002</v>
      </c>
      <c r="T84" s="65">
        <v>-410</v>
      </c>
      <c r="U84" t="e">
        <f t="shared" si="4"/>
        <v>#VALUE!</v>
      </c>
      <c r="V84">
        <f t="shared" si="5"/>
        <v>-389.58299999999997</v>
      </c>
    </row>
    <row r="85" spans="1:22" x14ac:dyDescent="0.25">
      <c r="A85" s="67">
        <v>45925.405729166669</v>
      </c>
      <c r="B85" s="68">
        <v>7445818</v>
      </c>
      <c r="C85" s="68">
        <v>56748514</v>
      </c>
      <c r="D85" s="68">
        <v>542451961</v>
      </c>
      <c r="E85" s="66">
        <v>-3.8952955551920174E-3</v>
      </c>
      <c r="F85" s="68">
        <v>-3917227</v>
      </c>
      <c r="G85" s="68">
        <v>-118150947</v>
      </c>
      <c r="H85" s="68">
        <v>672459747</v>
      </c>
      <c r="I85" s="65" t="s">
        <v>316</v>
      </c>
      <c r="J85" s="65">
        <v>-41.973999999999997</v>
      </c>
      <c r="K85" s="68">
        <v>-1062109340</v>
      </c>
      <c r="L85" s="68">
        <v>310549520</v>
      </c>
      <c r="M85" s="68">
        <v>-1089845255</v>
      </c>
      <c r="N85" s="75">
        <v>-3.8952955551920174E-3</v>
      </c>
      <c r="O85" s="75">
        <v>9.2799999999999994E-2</v>
      </c>
      <c r="P85" s="68">
        <v>-70139505</v>
      </c>
      <c r="Q85" s="68">
        <v>-1161380055</v>
      </c>
      <c r="R85" s="68">
        <v>178073995</v>
      </c>
      <c r="S85" s="65">
        <v>20.225999999999999</v>
      </c>
      <c r="T85" s="65">
        <v>-400</v>
      </c>
      <c r="U85" t="e">
        <f t="shared" si="4"/>
        <v>#VALUE!</v>
      </c>
      <c r="V85">
        <f t="shared" si="5"/>
        <v>-379.774</v>
      </c>
    </row>
    <row r="86" spans="1:22" x14ac:dyDescent="0.25">
      <c r="A86" s="67">
        <v>45925.406076388892</v>
      </c>
      <c r="B86" s="68">
        <v>36040790</v>
      </c>
      <c r="C86" s="68">
        <v>71706204</v>
      </c>
      <c r="D86" s="68">
        <v>615654882</v>
      </c>
      <c r="E86" s="66">
        <v>-3.5217168785686053E-3</v>
      </c>
      <c r="F86" s="68">
        <v>-8940109</v>
      </c>
      <c r="G86" s="68">
        <v>-99719334</v>
      </c>
      <c r="H86" s="68">
        <v>688985326</v>
      </c>
      <c r="I86" s="65" t="s">
        <v>316</v>
      </c>
      <c r="J86" s="65">
        <v>-34.636000000000003</v>
      </c>
      <c r="K86" s="68">
        <v>-1038808925</v>
      </c>
      <c r="L86" s="68">
        <v>318714245</v>
      </c>
      <c r="M86" s="68">
        <v>-1062066735</v>
      </c>
      <c r="N86" s="75">
        <v>-3.5217168785686053E-3</v>
      </c>
      <c r="O86" s="75">
        <v>9.4E-2</v>
      </c>
      <c r="P86" s="68">
        <v>-63954895</v>
      </c>
      <c r="Q86" s="68">
        <v>-1140000610</v>
      </c>
      <c r="R86" s="68">
        <v>195142935</v>
      </c>
      <c r="S86" s="65">
        <v>18.731000000000002</v>
      </c>
      <c r="T86" s="65">
        <v>-515</v>
      </c>
      <c r="U86" t="e">
        <f t="shared" si="4"/>
        <v>#VALUE!</v>
      </c>
      <c r="V86">
        <f t="shared" si="5"/>
        <v>-496.26900000000001</v>
      </c>
    </row>
    <row r="87" spans="1:22" x14ac:dyDescent="0.25">
      <c r="A87" s="67">
        <v>45925.406423611108</v>
      </c>
      <c r="B87" s="68">
        <v>-9664261</v>
      </c>
      <c r="C87" s="68">
        <v>8384172</v>
      </c>
      <c r="D87" s="68">
        <v>724886113</v>
      </c>
      <c r="E87" s="66">
        <v>-4.2669603634148626E-3</v>
      </c>
      <c r="F87" s="68">
        <v>8449341</v>
      </c>
      <c r="G87" s="68">
        <v>-125351056</v>
      </c>
      <c r="H87" s="68">
        <v>699482211</v>
      </c>
      <c r="I87" s="65" t="s">
        <v>316</v>
      </c>
      <c r="J87" s="65">
        <v>-34.808999999999997</v>
      </c>
      <c r="K87" s="68">
        <v>-1100869905</v>
      </c>
      <c r="L87" s="68">
        <v>327887125</v>
      </c>
      <c r="M87" s="68">
        <v>-1109202980</v>
      </c>
      <c r="N87" s="75">
        <v>-4.2669603634148626E-3</v>
      </c>
      <c r="O87" s="75">
        <v>9.4E-2</v>
      </c>
      <c r="P87" s="68">
        <v>-54250690</v>
      </c>
      <c r="Q87" s="68">
        <v>-1221471140</v>
      </c>
      <c r="R87" s="68">
        <v>191466540</v>
      </c>
      <c r="S87" s="65">
        <v>15.989000000000001</v>
      </c>
      <c r="T87" s="65">
        <v>-535</v>
      </c>
      <c r="U87" t="e">
        <f t="shared" si="4"/>
        <v>#VALUE!</v>
      </c>
      <c r="V87">
        <f t="shared" si="5"/>
        <v>-519.01099999999997</v>
      </c>
    </row>
    <row r="88" spans="1:22" x14ac:dyDescent="0.25">
      <c r="A88" s="67">
        <v>45925.406770833331</v>
      </c>
      <c r="B88" s="68">
        <v>6179731</v>
      </c>
      <c r="C88" s="68">
        <v>-32613962</v>
      </c>
      <c r="D88" s="68">
        <v>804830015</v>
      </c>
      <c r="E88" s="66">
        <v>-6.8264267121344755E-3</v>
      </c>
      <c r="F88" s="68">
        <v>-12540982</v>
      </c>
      <c r="G88" s="68">
        <v>-120532416</v>
      </c>
      <c r="H88" s="68">
        <v>718166447</v>
      </c>
      <c r="I88" s="65" t="s">
        <v>316</v>
      </c>
      <c r="J88" s="65">
        <v>-32.960999999999999</v>
      </c>
      <c r="K88" s="68">
        <v>-1196384330</v>
      </c>
      <c r="L88" s="68">
        <v>438439940</v>
      </c>
      <c r="M88" s="68">
        <v>-1176516940</v>
      </c>
      <c r="N88" s="75">
        <v>-6.8264267121344755E-3</v>
      </c>
      <c r="O88" s="75">
        <v>9.3299999999999994E-2</v>
      </c>
      <c r="P88" s="68">
        <v>-40341255</v>
      </c>
      <c r="Q88" s="68">
        <v>-1266036765</v>
      </c>
      <c r="R88" s="68">
        <v>306819525</v>
      </c>
      <c r="S88" s="65">
        <v>11.266999999999999</v>
      </c>
      <c r="T88" s="65">
        <v>-545</v>
      </c>
      <c r="U88" t="e">
        <f t="shared" si="4"/>
        <v>#VALUE!</v>
      </c>
      <c r="V88">
        <f t="shared" si="5"/>
        <v>-533.73299999999995</v>
      </c>
    </row>
    <row r="89" spans="1:22" x14ac:dyDescent="0.25">
      <c r="A89" s="67">
        <v>45925.407118055555</v>
      </c>
      <c r="B89" s="68">
        <v>16697269</v>
      </c>
      <c r="C89" s="68">
        <v>-23338460</v>
      </c>
      <c r="D89" s="68">
        <v>941480563</v>
      </c>
      <c r="E89" s="66">
        <v>-3.8722536535740742E-3</v>
      </c>
      <c r="F89" s="68">
        <v>-65829235</v>
      </c>
      <c r="G89" s="68">
        <v>-112788872</v>
      </c>
      <c r="H89" s="68">
        <v>728227959</v>
      </c>
      <c r="I89" s="65" t="s">
        <v>316</v>
      </c>
      <c r="J89" s="65">
        <v>-37.933999999999997</v>
      </c>
      <c r="K89" s="68">
        <v>-1203956185</v>
      </c>
      <c r="L89" s="68">
        <v>446916835</v>
      </c>
      <c r="M89" s="68">
        <v>-1172199980</v>
      </c>
      <c r="N89" s="75">
        <v>-3.8722536535740742E-3</v>
      </c>
      <c r="O89" s="75">
        <v>9.3299999999999994E-2</v>
      </c>
      <c r="P89" s="68">
        <v>-49138270</v>
      </c>
      <c r="Q89" s="68">
        <v>-1328460410</v>
      </c>
      <c r="R89" s="68">
        <v>305436285</v>
      </c>
      <c r="S89" s="65">
        <v>11.932</v>
      </c>
      <c r="T89" s="65">
        <v>-560</v>
      </c>
      <c r="U89" t="e">
        <f t="shared" si="4"/>
        <v>#VALUE!</v>
      </c>
      <c r="V89">
        <f t="shared" si="5"/>
        <v>-548.06799999999998</v>
      </c>
    </row>
    <row r="90" spans="1:22" x14ac:dyDescent="0.25">
      <c r="A90" s="67">
        <v>45925.407465277778</v>
      </c>
      <c r="B90" s="68">
        <v>48199610</v>
      </c>
      <c r="C90" s="68">
        <v>-14914884</v>
      </c>
      <c r="D90" s="68">
        <v>976800830</v>
      </c>
      <c r="E90" s="66">
        <v>-3.4956058192991968E-3</v>
      </c>
      <c r="F90" s="68">
        <v>-71595852</v>
      </c>
      <c r="G90" s="68">
        <v>-119265236</v>
      </c>
      <c r="H90" s="68">
        <v>724680733</v>
      </c>
      <c r="I90" s="65" t="s">
        <v>316</v>
      </c>
      <c r="J90" s="65">
        <v>-41.005000000000003</v>
      </c>
      <c r="K90" s="68">
        <v>-1203530200</v>
      </c>
      <c r="L90" s="68">
        <v>453634535</v>
      </c>
      <c r="M90" s="68">
        <v>-1156205445</v>
      </c>
      <c r="N90" s="75">
        <v>-3.4956058192991968E-3</v>
      </c>
      <c r="O90" s="75">
        <v>9.3299999999999994E-2</v>
      </c>
      <c r="P90" s="68">
        <v>-52443580</v>
      </c>
      <c r="Q90" s="68">
        <v>-1350531970</v>
      </c>
      <c r="R90" s="68">
        <v>322443305</v>
      </c>
      <c r="S90" s="65">
        <v>11.202</v>
      </c>
      <c r="T90" s="65">
        <v>-520</v>
      </c>
      <c r="U90" t="e">
        <f t="shared" si="4"/>
        <v>#VALUE!</v>
      </c>
      <c r="V90">
        <f t="shared" si="5"/>
        <v>-508.798</v>
      </c>
    </row>
    <row r="91" spans="1:22" x14ac:dyDescent="0.25">
      <c r="A91" s="67">
        <v>45925.407812500001</v>
      </c>
      <c r="B91" s="68">
        <v>3750181</v>
      </c>
      <c r="C91" s="68">
        <v>-27279515</v>
      </c>
      <c r="D91" s="68">
        <v>970260152</v>
      </c>
      <c r="E91" s="66">
        <v>-1.3510805997666866E-3</v>
      </c>
      <c r="F91" s="68">
        <v>-74465223</v>
      </c>
      <c r="G91" s="68">
        <v>-138430676</v>
      </c>
      <c r="H91" s="68">
        <v>702210739</v>
      </c>
      <c r="I91" s="65" t="s">
        <v>316</v>
      </c>
      <c r="J91" s="65">
        <v>-50.771999999999998</v>
      </c>
      <c r="K91" s="68">
        <v>-1200703565</v>
      </c>
      <c r="L91" s="68">
        <v>433853650</v>
      </c>
      <c r="M91" s="68">
        <v>-1147408450</v>
      </c>
      <c r="N91" s="75">
        <v>-1.3510805997666866E-3</v>
      </c>
      <c r="O91" s="75">
        <v>9.3299999999999994E-2</v>
      </c>
      <c r="P91" s="68">
        <v>-62732350</v>
      </c>
      <c r="Q91" s="68">
        <v>-1358901280</v>
      </c>
      <c r="R91" s="68">
        <v>298288690</v>
      </c>
      <c r="S91" s="65">
        <v>11.865</v>
      </c>
      <c r="T91" s="65">
        <v>-540</v>
      </c>
      <c r="U91" t="e">
        <f t="shared" si="4"/>
        <v>#VALUE!</v>
      </c>
      <c r="V91">
        <f t="shared" si="5"/>
        <v>-528.13499999999999</v>
      </c>
    </row>
    <row r="92" spans="1:22" x14ac:dyDescent="0.25">
      <c r="A92" s="67">
        <v>45925.408159722225</v>
      </c>
      <c r="B92" s="68">
        <v>29942988</v>
      </c>
      <c r="C92" s="68">
        <v>18985187</v>
      </c>
      <c r="D92" s="68">
        <v>614877222</v>
      </c>
      <c r="E92" s="66">
        <v>-3.1761941119168593E-3</v>
      </c>
      <c r="F92" s="68">
        <v>-15572833</v>
      </c>
      <c r="G92" s="68">
        <v>-124211612</v>
      </c>
      <c r="H92" s="68">
        <v>579556975</v>
      </c>
      <c r="I92" s="65" t="s">
        <v>316</v>
      </c>
      <c r="J92" s="65">
        <v>-50.183</v>
      </c>
      <c r="K92" s="68">
        <v>-1216107470</v>
      </c>
      <c r="L92" s="68">
        <v>443127790</v>
      </c>
      <c r="M92" s="68">
        <v>-1146500780</v>
      </c>
      <c r="N92" s="75">
        <v>-3.1761941119168593E-3</v>
      </c>
      <c r="O92" s="75">
        <v>9.3299999999999994E-2</v>
      </c>
      <c r="P92" s="68">
        <v>-58095370</v>
      </c>
      <c r="Q92" s="68">
        <v>-1381608010</v>
      </c>
      <c r="R92" s="68">
        <v>306229365</v>
      </c>
      <c r="S92" s="65">
        <v>10.679</v>
      </c>
      <c r="T92" s="65">
        <v>-590</v>
      </c>
      <c r="U92" t="e">
        <f t="shared" si="4"/>
        <v>#VALUE!</v>
      </c>
      <c r="V92">
        <f t="shared" si="5"/>
        <v>-579.32100000000003</v>
      </c>
    </row>
    <row r="93" spans="1:22" x14ac:dyDescent="0.25">
      <c r="A93" s="67">
        <v>45925.408506944441</v>
      </c>
      <c r="B93" s="68">
        <v>6890582</v>
      </c>
      <c r="C93" s="68">
        <v>-25453489</v>
      </c>
      <c r="D93" s="68">
        <v>607251380</v>
      </c>
      <c r="E93" s="66">
        <v>-4.6824563375707793E-3</v>
      </c>
      <c r="F93" s="68">
        <v>7577187</v>
      </c>
      <c r="G93" s="68">
        <v>-126456859</v>
      </c>
      <c r="H93" s="68">
        <v>536161902</v>
      </c>
      <c r="I93" s="65" t="s">
        <v>316</v>
      </c>
      <c r="J93" s="65">
        <v>-52.777999999999999</v>
      </c>
      <c r="K93" s="68">
        <v>-1202244155</v>
      </c>
      <c r="L93" s="68">
        <v>434916040</v>
      </c>
      <c r="M93" s="68">
        <v>-1137116285</v>
      </c>
      <c r="N93" s="75">
        <v>-4.6824563375707793E-3</v>
      </c>
      <c r="O93" s="75">
        <v>9.3299999999999994E-2</v>
      </c>
      <c r="P93" s="68">
        <v>-53935795</v>
      </c>
      <c r="Q93" s="68">
        <v>-1377395710</v>
      </c>
      <c r="R93" s="68">
        <v>301430810</v>
      </c>
      <c r="S93" s="65">
        <v>13.102</v>
      </c>
      <c r="T93" s="65">
        <v>-525</v>
      </c>
      <c r="U93" t="e">
        <f t="shared" si="4"/>
        <v>#VALUE!</v>
      </c>
      <c r="V93">
        <f t="shared" si="5"/>
        <v>-511.89800000000002</v>
      </c>
    </row>
    <row r="94" spans="1:22" x14ac:dyDescent="0.25">
      <c r="A94" s="67">
        <v>45925.408854166664</v>
      </c>
      <c r="B94" s="68">
        <v>169317870</v>
      </c>
      <c r="C94" s="68">
        <v>-166014961</v>
      </c>
      <c r="D94" s="68">
        <v>462090324</v>
      </c>
      <c r="E94" s="66">
        <v>-4.6824563375707793E-3</v>
      </c>
      <c r="F94" s="68">
        <v>32753524</v>
      </c>
      <c r="G94" s="68">
        <v>3035086</v>
      </c>
      <c r="H94" s="68">
        <v>463162824</v>
      </c>
      <c r="I94" s="65" t="s">
        <v>316</v>
      </c>
      <c r="J94" s="65">
        <v>-55.317</v>
      </c>
      <c r="K94" s="68">
        <v>-1147471080</v>
      </c>
      <c r="L94" s="68">
        <v>393261460</v>
      </c>
      <c r="M94" s="68">
        <v>-1041754955</v>
      </c>
      <c r="N94" s="75">
        <v>-4.6824563375707793E-3</v>
      </c>
      <c r="O94" s="75">
        <v>9.2799999999999994E-2</v>
      </c>
      <c r="P94" s="68">
        <v>-66736420</v>
      </c>
      <c r="Q94" s="68">
        <v>-1313930535</v>
      </c>
      <c r="R94" s="68">
        <v>285427440</v>
      </c>
      <c r="S94" s="65">
        <v>14.308999999999999</v>
      </c>
      <c r="T94" s="65">
        <v>-505</v>
      </c>
      <c r="U94" t="e">
        <f t="shared" si="4"/>
        <v>#VALUE!</v>
      </c>
      <c r="V94">
        <f t="shared" si="5"/>
        <v>-490.69099999999997</v>
      </c>
    </row>
    <row r="95" spans="1:22" x14ac:dyDescent="0.25">
      <c r="A95" s="67">
        <v>45925.409201388888</v>
      </c>
      <c r="B95" s="68">
        <v>112065154</v>
      </c>
      <c r="C95" s="68">
        <v>-165383815</v>
      </c>
      <c r="D95" s="68">
        <v>427862773</v>
      </c>
      <c r="E95" s="66">
        <v>-2.9420493543003876E-3</v>
      </c>
      <c r="F95" s="68">
        <v>40049948</v>
      </c>
      <c r="G95" s="68">
        <v>17005675</v>
      </c>
      <c r="H95" s="68">
        <v>484284824</v>
      </c>
      <c r="I95" s="65" t="s">
        <v>316</v>
      </c>
      <c r="J95" s="65">
        <v>-64.894000000000005</v>
      </c>
      <c r="K95" s="68">
        <v>-1132588055</v>
      </c>
      <c r="L95" s="68">
        <v>400519290</v>
      </c>
      <c r="M95" s="68">
        <v>-1044744020</v>
      </c>
      <c r="N95" s="75">
        <v>-2.9420493543003876E-3</v>
      </c>
      <c r="O95" s="75">
        <v>9.2799999999999994E-2</v>
      </c>
      <c r="P95" s="68">
        <v>-70737345</v>
      </c>
      <c r="Q95" s="68">
        <v>-1303688625</v>
      </c>
      <c r="R95" s="68">
        <v>322667595</v>
      </c>
      <c r="S95" s="65">
        <v>16.603999999999999</v>
      </c>
      <c r="T95" s="65">
        <v>-465</v>
      </c>
      <c r="U95" t="e">
        <f t="shared" si="4"/>
        <v>#VALUE!</v>
      </c>
      <c r="V95">
        <f t="shared" si="5"/>
        <v>-448.39600000000002</v>
      </c>
    </row>
    <row r="96" spans="1:22" x14ac:dyDescent="0.25">
      <c r="A96" s="67">
        <v>45925.409548611111</v>
      </c>
      <c r="B96" s="68">
        <v>73439756</v>
      </c>
      <c r="C96" s="68">
        <v>-176546740</v>
      </c>
      <c r="D96" s="68">
        <v>376487679</v>
      </c>
      <c r="E96" s="66">
        <v>8.3570768688957407E-4</v>
      </c>
      <c r="F96" s="68">
        <v>53633632</v>
      </c>
      <c r="G96" s="68">
        <v>14081838</v>
      </c>
      <c r="H96" s="68">
        <v>496361234</v>
      </c>
      <c r="I96" s="65" t="s">
        <v>316</v>
      </c>
      <c r="J96" s="65">
        <v>-75.917000000000002</v>
      </c>
      <c r="K96" s="68">
        <v>-1131413395</v>
      </c>
      <c r="L96" s="68">
        <v>402011775</v>
      </c>
      <c r="M96" s="68">
        <v>-1045169485</v>
      </c>
      <c r="N96" s="75">
        <v>8.3570768688957407E-4</v>
      </c>
      <c r="O96" s="75">
        <v>9.2799999999999994E-2</v>
      </c>
      <c r="P96" s="68">
        <v>-64123375</v>
      </c>
      <c r="Q96" s="68">
        <v>-1292540950</v>
      </c>
      <c r="R96" s="68">
        <v>336961795</v>
      </c>
      <c r="S96" s="65">
        <v>15.696</v>
      </c>
      <c r="T96" s="65">
        <v>-475</v>
      </c>
      <c r="U96" t="e">
        <f t="shared" si="4"/>
        <v>#VALUE!</v>
      </c>
      <c r="V96">
        <f t="shared" si="5"/>
        <v>-459.30399999999997</v>
      </c>
    </row>
    <row r="97" spans="1:22" x14ac:dyDescent="0.25">
      <c r="A97" s="67">
        <v>45925.409895833334</v>
      </c>
      <c r="B97" s="68">
        <v>29144433</v>
      </c>
      <c r="C97" s="68">
        <v>-139820862</v>
      </c>
      <c r="D97" s="68">
        <v>231916618</v>
      </c>
      <c r="E97" s="66">
        <v>8.7712011822254545E-3</v>
      </c>
      <c r="F97" s="68">
        <v>37078785</v>
      </c>
      <c r="G97" s="68">
        <v>16708643</v>
      </c>
      <c r="H97" s="68">
        <v>487387127</v>
      </c>
      <c r="I97" s="65" t="s">
        <v>316</v>
      </c>
      <c r="J97" s="65">
        <v>-87.435000000000002</v>
      </c>
      <c r="K97" s="68">
        <v>-1030731090</v>
      </c>
      <c r="L97" s="68">
        <v>334940280</v>
      </c>
      <c r="M97" s="68">
        <v>-1001414895</v>
      </c>
      <c r="N97" s="75">
        <v>8.7712011822254545E-3</v>
      </c>
      <c r="O97" s="75">
        <v>9.2799999999999994E-2</v>
      </c>
      <c r="P97" s="68">
        <v>-31304275</v>
      </c>
      <c r="Q97" s="68">
        <v>-1252627960</v>
      </c>
      <c r="R97" s="68">
        <v>286696795</v>
      </c>
      <c r="S97" s="65">
        <v>21.513999999999999</v>
      </c>
      <c r="T97" s="65">
        <v>-405</v>
      </c>
      <c r="U97" t="e">
        <f t="shared" si="4"/>
        <v>#VALUE!</v>
      </c>
      <c r="V97">
        <f t="shared" si="5"/>
        <v>-383.48599999999999</v>
      </c>
    </row>
    <row r="98" spans="1:22" x14ac:dyDescent="0.25">
      <c r="A98" s="67">
        <v>45925.410243055558</v>
      </c>
      <c r="B98" s="68">
        <v>156004841</v>
      </c>
      <c r="C98" s="68">
        <v>-185975959</v>
      </c>
      <c r="D98" s="68">
        <v>166632888</v>
      </c>
      <c r="E98" s="66">
        <v>1.2488135427991591E-2</v>
      </c>
      <c r="F98" s="68">
        <v>49768388</v>
      </c>
      <c r="G98" s="68">
        <v>82042056</v>
      </c>
      <c r="H98" s="68">
        <v>535731620</v>
      </c>
      <c r="I98" s="65" t="s">
        <v>316</v>
      </c>
      <c r="J98" s="65">
        <v>-96.936000000000007</v>
      </c>
      <c r="K98" s="68">
        <v>-925318990</v>
      </c>
      <c r="L98" s="68">
        <v>395247140</v>
      </c>
      <c r="M98" s="68">
        <v>-1085895410</v>
      </c>
      <c r="N98" s="75">
        <v>1.2488135427991591E-2</v>
      </c>
      <c r="O98" s="75">
        <v>9.6099999999999991E-2</v>
      </c>
      <c r="P98" s="68">
        <v>-4888530</v>
      </c>
      <c r="Q98" s="68">
        <v>-1234268375</v>
      </c>
      <c r="R98" s="68">
        <v>305318285</v>
      </c>
      <c r="S98" s="65">
        <v>24.866</v>
      </c>
      <c r="T98" s="65">
        <v>-240</v>
      </c>
      <c r="U98" t="e">
        <f t="shared" ref="U98:U106" si="6">I98+J98</f>
        <v>#VALUE!</v>
      </c>
      <c r="V98">
        <f t="shared" ref="V98:V106" si="7">S98+T98</f>
        <v>-215.13400000000001</v>
      </c>
    </row>
    <row r="99" spans="1:22" x14ac:dyDescent="0.25">
      <c r="A99" s="67">
        <v>45925.410590277781</v>
      </c>
      <c r="B99" s="68">
        <v>175159064</v>
      </c>
      <c r="C99" s="68">
        <v>-96463459</v>
      </c>
      <c r="D99" s="68">
        <v>40287778</v>
      </c>
      <c r="E99" s="66">
        <v>2.0315562860272144E-2</v>
      </c>
      <c r="F99" s="68">
        <v>39940272</v>
      </c>
      <c r="G99" s="68">
        <v>95590125</v>
      </c>
      <c r="H99" s="68">
        <v>545057972</v>
      </c>
      <c r="I99" s="65" t="s">
        <v>316</v>
      </c>
      <c r="J99" s="65">
        <v>-103.29600000000001</v>
      </c>
      <c r="K99" s="68">
        <v>-871719950</v>
      </c>
      <c r="L99" s="68">
        <v>440743055</v>
      </c>
      <c r="M99" s="68">
        <v>-1146189550</v>
      </c>
      <c r="N99" s="75">
        <v>2.0315562860272144E-2</v>
      </c>
      <c r="O99" s="75">
        <v>9.6099999999999991E-2</v>
      </c>
      <c r="P99" s="68">
        <v>11024915</v>
      </c>
      <c r="Q99" s="68">
        <v>-1184887105</v>
      </c>
      <c r="R99" s="68">
        <v>288345850</v>
      </c>
      <c r="S99" s="65">
        <v>33.058</v>
      </c>
      <c r="T99" s="65">
        <v>25</v>
      </c>
      <c r="U99" t="e">
        <f t="shared" si="6"/>
        <v>#VALUE!</v>
      </c>
      <c r="V99">
        <f t="shared" si="7"/>
        <v>58.058</v>
      </c>
    </row>
    <row r="100" spans="1:22" x14ac:dyDescent="0.25">
      <c r="A100" s="67">
        <v>45925.410937499997</v>
      </c>
      <c r="B100" s="68">
        <v>196396210</v>
      </c>
      <c r="C100" s="68">
        <v>-320836168</v>
      </c>
      <c r="D100" s="68">
        <v>47338519</v>
      </c>
      <c r="E100" s="66">
        <v>2.3645330176467878E-2</v>
      </c>
      <c r="F100" s="68">
        <v>48700028</v>
      </c>
      <c r="G100" s="68">
        <v>103908339</v>
      </c>
      <c r="H100" s="68">
        <v>539572130</v>
      </c>
      <c r="I100" s="65" t="s">
        <v>316</v>
      </c>
      <c r="J100" s="65">
        <v>-109.8</v>
      </c>
      <c r="K100" s="68">
        <v>-627517140</v>
      </c>
      <c r="L100" s="68">
        <v>374982945</v>
      </c>
      <c r="M100" s="68">
        <v>-1073366115</v>
      </c>
      <c r="N100" s="75">
        <v>2.3645330176467878E-2</v>
      </c>
      <c r="O100" s="75">
        <v>9.9299999999999999E-2</v>
      </c>
      <c r="P100" s="68">
        <v>25493195</v>
      </c>
      <c r="Q100" s="68">
        <v>-1168752160</v>
      </c>
      <c r="R100" s="68">
        <v>327244190</v>
      </c>
      <c r="S100" s="65">
        <v>36.792000000000002</v>
      </c>
      <c r="T100" s="65">
        <v>55</v>
      </c>
      <c r="U100" t="e">
        <f t="shared" si="6"/>
        <v>#VALUE!</v>
      </c>
      <c r="V100">
        <f t="shared" si="7"/>
        <v>91.792000000000002</v>
      </c>
    </row>
    <row r="101" spans="1:22" x14ac:dyDescent="0.25">
      <c r="A101" s="67">
        <v>45925.41128472222</v>
      </c>
      <c r="B101" s="68">
        <v>205653943</v>
      </c>
      <c r="C101" s="68">
        <v>-263656057</v>
      </c>
      <c r="D101" s="68">
        <v>48377770</v>
      </c>
      <c r="E101" s="66">
        <v>2.85017247545374E-2</v>
      </c>
      <c r="F101" s="68">
        <v>42038734</v>
      </c>
      <c r="G101" s="68">
        <v>106118309</v>
      </c>
      <c r="H101" s="68">
        <v>569128075</v>
      </c>
      <c r="I101" s="65" t="s">
        <v>316</v>
      </c>
      <c r="J101" s="65">
        <v>-109.779</v>
      </c>
      <c r="K101" s="68">
        <v>-661817660</v>
      </c>
      <c r="L101" s="68">
        <v>356329470</v>
      </c>
      <c r="M101" s="68">
        <v>-1178045795</v>
      </c>
      <c r="N101" s="75">
        <v>2.85017247545374E-2</v>
      </c>
      <c r="O101" s="75">
        <v>9.9299999999999999E-2</v>
      </c>
      <c r="P101" s="68">
        <v>43127860</v>
      </c>
      <c r="Q101" s="68">
        <v>-1183872985</v>
      </c>
      <c r="R101" s="68">
        <v>342846070</v>
      </c>
      <c r="S101" s="65">
        <v>37.231999999999999</v>
      </c>
      <c r="T101" s="65">
        <v>185</v>
      </c>
      <c r="U101" t="e">
        <f t="shared" si="6"/>
        <v>#VALUE!</v>
      </c>
      <c r="V101">
        <f t="shared" si="7"/>
        <v>222.232</v>
      </c>
    </row>
    <row r="102" spans="1:22" x14ac:dyDescent="0.25">
      <c r="A102" s="67">
        <v>45925.411631944444</v>
      </c>
      <c r="B102" s="68">
        <v>200191129</v>
      </c>
      <c r="C102" s="68">
        <v>-212262198</v>
      </c>
      <c r="D102" s="68">
        <v>16781279</v>
      </c>
      <c r="E102" s="66">
        <v>3.026021820129916E-2</v>
      </c>
      <c r="F102" s="68">
        <v>57343057</v>
      </c>
      <c r="G102" s="68">
        <v>100894741</v>
      </c>
      <c r="H102" s="68">
        <v>579572883</v>
      </c>
      <c r="I102" s="65" t="s">
        <v>316</v>
      </c>
      <c r="J102" s="65">
        <v>-118.05</v>
      </c>
      <c r="K102" s="68">
        <v>-736258230</v>
      </c>
      <c r="L102" s="68">
        <v>370865095</v>
      </c>
      <c r="M102" s="68">
        <v>-1256554015</v>
      </c>
      <c r="N102" s="75">
        <v>3.026021820129916E-2</v>
      </c>
      <c r="O102" s="75">
        <v>9.9299999999999999E-2</v>
      </c>
      <c r="P102" s="68">
        <v>71080630</v>
      </c>
      <c r="Q102" s="68">
        <v>-1253619590</v>
      </c>
      <c r="R102" s="68">
        <v>341458875</v>
      </c>
      <c r="S102" s="65">
        <v>37.235999999999997</v>
      </c>
      <c r="T102" s="65">
        <v>200</v>
      </c>
      <c r="U102" t="e">
        <f t="shared" si="6"/>
        <v>#VALUE!</v>
      </c>
      <c r="V102">
        <f t="shared" si="7"/>
        <v>237.23599999999999</v>
      </c>
    </row>
    <row r="103" spans="1:22" x14ac:dyDescent="0.25">
      <c r="A103" s="67">
        <v>45925.411990740744</v>
      </c>
      <c r="B103" s="68">
        <v>227520124</v>
      </c>
      <c r="C103" s="68">
        <v>-192747121</v>
      </c>
      <c r="D103" s="68">
        <v>-4576231</v>
      </c>
      <c r="E103" s="66">
        <v>2.9887778722714507E-2</v>
      </c>
      <c r="F103" s="68">
        <v>51743819</v>
      </c>
      <c r="G103" s="68">
        <v>114455921</v>
      </c>
      <c r="H103" s="68">
        <v>559936665</v>
      </c>
      <c r="I103" s="65" t="s">
        <v>316</v>
      </c>
      <c r="J103" s="65">
        <v>-117.25700000000001</v>
      </c>
      <c r="K103" s="68">
        <v>-698534960</v>
      </c>
      <c r="L103" s="68">
        <v>376472840</v>
      </c>
      <c r="M103" s="68">
        <v>-1232186255</v>
      </c>
      <c r="N103" s="75">
        <v>2.9887778722714507E-2</v>
      </c>
      <c r="O103" s="75">
        <v>9.9299999999999999E-2</v>
      </c>
      <c r="P103" s="68">
        <v>74339695</v>
      </c>
      <c r="Q103" s="68">
        <v>-1249985770</v>
      </c>
      <c r="R103" s="68">
        <v>330771585</v>
      </c>
      <c r="S103" s="65">
        <v>36.174999999999997</v>
      </c>
      <c r="T103" s="65">
        <v>190</v>
      </c>
      <c r="U103" t="e">
        <f t="shared" si="6"/>
        <v>#VALUE!</v>
      </c>
      <c r="V103">
        <f t="shared" si="7"/>
        <v>226.17500000000001</v>
      </c>
    </row>
    <row r="104" spans="1:22" x14ac:dyDescent="0.25">
      <c r="A104" s="67">
        <v>45925.412280092591</v>
      </c>
      <c r="B104" s="68">
        <v>293240754</v>
      </c>
      <c r="C104" s="68">
        <v>-187034336</v>
      </c>
      <c r="D104" s="68">
        <v>-94629213</v>
      </c>
      <c r="E104" s="66">
        <v>2.2809143980491418E-2</v>
      </c>
      <c r="F104" s="68">
        <v>33972395</v>
      </c>
      <c r="G104" s="68">
        <v>142394694</v>
      </c>
      <c r="H104" s="68">
        <v>532708940</v>
      </c>
      <c r="I104" s="65">
        <v>-110.952</v>
      </c>
      <c r="J104" s="65">
        <v>-810</v>
      </c>
      <c r="K104" s="68">
        <v>-594507955</v>
      </c>
      <c r="L104" s="68">
        <v>312252235</v>
      </c>
      <c r="M104" s="68">
        <v>-1117740125</v>
      </c>
      <c r="N104" s="75">
        <v>2.2809143980491418E-2</v>
      </c>
      <c r="O104" s="75">
        <v>9.98E-2</v>
      </c>
      <c r="P104" s="68">
        <v>56493865</v>
      </c>
      <c r="Q104" s="68">
        <v>-1254152830</v>
      </c>
      <c r="R104" s="68">
        <v>269811660</v>
      </c>
      <c r="S104" s="65">
        <v>34.89</v>
      </c>
      <c r="T104" s="65">
        <v>175</v>
      </c>
      <c r="U104">
        <f t="shared" si="6"/>
        <v>-920.952</v>
      </c>
      <c r="V104">
        <f t="shared" si="7"/>
        <v>209.89</v>
      </c>
    </row>
    <row r="105" spans="1:22" x14ac:dyDescent="0.25">
      <c r="A105" s="67">
        <v>45925.41233796296</v>
      </c>
      <c r="B105" s="68">
        <v>293535800</v>
      </c>
      <c r="C105" s="68">
        <v>-230629226</v>
      </c>
      <c r="D105" s="68">
        <v>-25299665</v>
      </c>
      <c r="E105" s="66">
        <v>2.3188650621857567E-2</v>
      </c>
      <c r="F105" s="68">
        <v>35711313</v>
      </c>
      <c r="G105" s="68">
        <v>139034339</v>
      </c>
      <c r="H105" s="68">
        <v>552988609</v>
      </c>
      <c r="I105" s="65">
        <v>-110.033</v>
      </c>
      <c r="J105" s="65">
        <v>-800</v>
      </c>
      <c r="K105" s="68">
        <v>-557487660</v>
      </c>
      <c r="L105" s="68">
        <v>277903170</v>
      </c>
      <c r="M105" s="68">
        <v>-1086276030</v>
      </c>
      <c r="N105" s="75">
        <v>2.3188650621857567E-2</v>
      </c>
      <c r="O105" s="75">
        <v>9.98E-2</v>
      </c>
      <c r="P105" s="68">
        <v>56974690</v>
      </c>
      <c r="Q105" s="68">
        <v>-1252336380</v>
      </c>
      <c r="R105" s="68">
        <v>270559610</v>
      </c>
      <c r="S105" s="65">
        <v>34.277000000000001</v>
      </c>
      <c r="T105" s="65">
        <v>175</v>
      </c>
      <c r="U105">
        <f t="shared" si="6"/>
        <v>-910.03300000000002</v>
      </c>
      <c r="V105">
        <f t="shared" si="7"/>
        <v>209.27699999999999</v>
      </c>
    </row>
    <row r="106" spans="1:22" x14ac:dyDescent="0.25">
      <c r="A106" s="67">
        <v>45925.412719907406</v>
      </c>
      <c r="B106" s="68">
        <v>332190354</v>
      </c>
      <c r="C106" s="68">
        <v>-261346736</v>
      </c>
      <c r="D106" s="68">
        <v>-33156247</v>
      </c>
      <c r="E106" s="66">
        <v>2.0612440298592018E-2</v>
      </c>
      <c r="F106" s="68">
        <v>18241795</v>
      </c>
      <c r="G106" s="68">
        <v>152027671</v>
      </c>
      <c r="H106" s="68">
        <v>537050562</v>
      </c>
      <c r="I106" s="65">
        <v>-104.33199999999999</v>
      </c>
      <c r="J106" s="65">
        <v>-850</v>
      </c>
      <c r="K106" s="68">
        <v>-530553940</v>
      </c>
      <c r="L106" s="68">
        <v>289171345</v>
      </c>
      <c r="M106" s="68">
        <v>-1089960475</v>
      </c>
      <c r="N106" s="75">
        <v>2.0612440298592018E-2</v>
      </c>
      <c r="O106" s="75">
        <v>9.98E-2</v>
      </c>
      <c r="P106" s="68">
        <v>59914370</v>
      </c>
      <c r="Q106" s="68">
        <v>-1240470285</v>
      </c>
      <c r="R106" s="68">
        <v>274297530</v>
      </c>
      <c r="S106" s="65">
        <v>35.26</v>
      </c>
      <c r="T106" s="65">
        <v>295</v>
      </c>
      <c r="U106">
        <f t="shared" si="6"/>
        <v>-954.33199999999999</v>
      </c>
      <c r="V106">
        <f t="shared" si="7"/>
        <v>330.26</v>
      </c>
    </row>
    <row r="107" spans="1:22" x14ac:dyDescent="0.25">
      <c r="A107" s="67">
        <v>45925.62232638889</v>
      </c>
      <c r="B107" s="68">
        <v>-1384251264</v>
      </c>
      <c r="C107" s="68">
        <v>530086968</v>
      </c>
      <c r="D107" s="68">
        <v>1978846891</v>
      </c>
      <c r="E107" s="66">
        <v>0.10539870937518694</v>
      </c>
      <c r="F107" s="68">
        <v>-105865575</v>
      </c>
      <c r="G107" s="68">
        <v>34295470</v>
      </c>
      <c r="H107" s="68">
        <v>1237542275</v>
      </c>
      <c r="I107" s="65">
        <v>-219.85599999999999</v>
      </c>
      <c r="J107" s="65">
        <v>-2.41</v>
      </c>
      <c r="K107" s="68">
        <v>5867013070</v>
      </c>
      <c r="L107" s="68">
        <v>2811094690</v>
      </c>
      <c r="M107" s="68">
        <v>1194310090</v>
      </c>
      <c r="N107" s="75">
        <v>0.10539870937518694</v>
      </c>
      <c r="O107" s="75">
        <v>9.279999999999998E-2</v>
      </c>
      <c r="P107" s="68">
        <v>-270941020</v>
      </c>
      <c r="Q107" s="68">
        <v>-2471631145</v>
      </c>
      <c r="R107" s="68">
        <v>2519983970</v>
      </c>
      <c r="S107" s="65">
        <v>91.465999999999994</v>
      </c>
      <c r="T107" s="65">
        <v>7.2050000000000001</v>
      </c>
    </row>
    <row r="108" spans="1:22" x14ac:dyDescent="0.25">
      <c r="A108" s="67">
        <v>45925.622673611113</v>
      </c>
      <c r="B108" s="68">
        <v>-1401437346</v>
      </c>
      <c r="C108" s="68">
        <v>534741187</v>
      </c>
      <c r="D108" s="68">
        <v>2003382855</v>
      </c>
      <c r="E108" s="66">
        <v>0.10649663244153076</v>
      </c>
      <c r="F108" s="68">
        <v>-99132036</v>
      </c>
      <c r="G108" s="68">
        <v>23667768</v>
      </c>
      <c r="H108" s="68">
        <v>1236255253</v>
      </c>
      <c r="I108" s="65">
        <v>-220.892</v>
      </c>
      <c r="J108" s="65">
        <v>-2.415</v>
      </c>
      <c r="K108" s="68">
        <v>5846379030</v>
      </c>
      <c r="L108" s="68">
        <v>2770681810</v>
      </c>
      <c r="M108" s="68">
        <v>1186860205</v>
      </c>
      <c r="N108" s="75">
        <v>0.10649663244153076</v>
      </c>
      <c r="O108" s="75">
        <v>9.279999999999998E-2</v>
      </c>
      <c r="P108" s="68">
        <v>-238836230</v>
      </c>
      <c r="Q108" s="68">
        <v>-2505663720</v>
      </c>
      <c r="R108" s="68">
        <v>2506370950</v>
      </c>
      <c r="S108" s="65">
        <v>91.944999999999993</v>
      </c>
      <c r="T108" s="65">
        <v>7.41</v>
      </c>
    </row>
    <row r="109" spans="1:22" x14ac:dyDescent="0.25">
      <c r="A109" s="67">
        <v>45925.623020833336</v>
      </c>
      <c r="B109" s="68">
        <v>-1352148553</v>
      </c>
      <c r="C109" s="68">
        <v>456660347</v>
      </c>
      <c r="D109" s="68">
        <v>2065236542</v>
      </c>
      <c r="E109" s="66">
        <v>0.10537908477689421</v>
      </c>
      <c r="F109" s="68">
        <v>-92309589</v>
      </c>
      <c r="G109" s="68">
        <v>32540753</v>
      </c>
      <c r="H109" s="68">
        <v>1250403745</v>
      </c>
      <c r="I109" s="65">
        <v>-217.65600000000001</v>
      </c>
      <c r="J109" s="65">
        <v>-2.4</v>
      </c>
      <c r="K109" s="68">
        <v>5810152690</v>
      </c>
      <c r="L109" s="68">
        <v>2788955740</v>
      </c>
      <c r="M109" s="68">
        <v>1168801075</v>
      </c>
      <c r="N109" s="75">
        <v>0.10537908477689421</v>
      </c>
      <c r="O109" s="75">
        <v>9.2299999999999979E-2</v>
      </c>
      <c r="P109" s="68">
        <v>-226832450</v>
      </c>
      <c r="Q109" s="68">
        <v>-2541944600</v>
      </c>
      <c r="R109" s="68">
        <v>2514355805</v>
      </c>
      <c r="S109" s="65">
        <v>91.06</v>
      </c>
      <c r="T109" s="65">
        <v>7.2949999999999999</v>
      </c>
    </row>
    <row r="110" spans="1:22" x14ac:dyDescent="0.25">
      <c r="A110" s="67">
        <v>45925.623368055552</v>
      </c>
      <c r="B110" s="68">
        <v>-1349630641</v>
      </c>
      <c r="C110" s="68">
        <v>466849355</v>
      </c>
      <c r="D110" s="68">
        <v>2070800330</v>
      </c>
      <c r="E110" s="66">
        <v>0.10502219683970643</v>
      </c>
      <c r="F110" s="68">
        <v>-89206097</v>
      </c>
      <c r="G110" s="68">
        <v>31076719</v>
      </c>
      <c r="H110" s="68">
        <v>1245397392</v>
      </c>
      <c r="I110" s="65">
        <v>-218.77099999999999</v>
      </c>
      <c r="J110" s="65">
        <v>-2.4</v>
      </c>
      <c r="K110" s="68">
        <v>5914065385</v>
      </c>
      <c r="L110" s="68">
        <v>2739869395</v>
      </c>
      <c r="M110" s="68">
        <v>1269713705</v>
      </c>
      <c r="N110" s="75">
        <v>0.10502219683970643</v>
      </c>
      <c r="O110" s="75">
        <v>9.2299999999999979E-2</v>
      </c>
      <c r="P110" s="68">
        <v>-210434710</v>
      </c>
      <c r="Q110" s="68">
        <v>-2550091980</v>
      </c>
      <c r="R110" s="68">
        <v>2513712390</v>
      </c>
      <c r="S110" s="65">
        <v>91.495999999999995</v>
      </c>
      <c r="T110" s="65">
        <v>7.2750000000000004</v>
      </c>
    </row>
    <row r="111" spans="1:22" x14ac:dyDescent="0.25">
      <c r="A111" s="67">
        <v>45925.623715277776</v>
      </c>
      <c r="B111" s="68">
        <v>-1346058553</v>
      </c>
      <c r="C111" s="68">
        <v>454756235</v>
      </c>
      <c r="D111" s="68">
        <v>2043013780</v>
      </c>
      <c r="E111" s="66">
        <v>0.10501878318764633</v>
      </c>
      <c r="F111" s="68">
        <v>-84755782</v>
      </c>
      <c r="G111" s="68">
        <v>34502596</v>
      </c>
      <c r="H111" s="68">
        <v>1237931054</v>
      </c>
      <c r="I111" s="65">
        <v>-218.90100000000001</v>
      </c>
      <c r="J111" s="65">
        <v>-2.4049999999999998</v>
      </c>
      <c r="K111" s="68">
        <v>5927624850</v>
      </c>
      <c r="L111" s="68">
        <v>2740030180</v>
      </c>
      <c r="M111" s="68">
        <v>1280111135</v>
      </c>
      <c r="N111" s="75">
        <v>0.10501878318764633</v>
      </c>
      <c r="O111" s="75">
        <v>9.1899999999999982E-2</v>
      </c>
      <c r="P111" s="68">
        <v>-213918385</v>
      </c>
      <c r="Q111" s="68">
        <v>-2552825395</v>
      </c>
      <c r="R111" s="68">
        <v>2522180400</v>
      </c>
      <c r="S111" s="65">
        <v>91.373000000000005</v>
      </c>
      <c r="T111" s="65">
        <v>7.2750000000000004</v>
      </c>
    </row>
    <row r="112" spans="1:22" x14ac:dyDescent="0.25">
      <c r="A112" s="67">
        <v>45925.624062499999</v>
      </c>
      <c r="B112" s="68">
        <v>-1337596487</v>
      </c>
      <c r="C112" s="68">
        <v>463832355</v>
      </c>
      <c r="D112" s="68">
        <v>2040115149</v>
      </c>
      <c r="E112" s="66">
        <v>0.10800383087456629</v>
      </c>
      <c r="F112" s="68">
        <v>-82296302</v>
      </c>
      <c r="G112" s="68">
        <v>37548009</v>
      </c>
      <c r="H112" s="68">
        <v>1240039398</v>
      </c>
      <c r="I112" s="65">
        <v>-219.02099999999999</v>
      </c>
      <c r="J112" s="65">
        <v>-2.415</v>
      </c>
      <c r="K112" s="68">
        <v>5949920330</v>
      </c>
      <c r="L112" s="68">
        <v>2727328165</v>
      </c>
      <c r="M112" s="68">
        <v>1299083765</v>
      </c>
      <c r="N112" s="75">
        <v>0.10800383087456629</v>
      </c>
      <c r="O112" s="75">
        <v>9.1899999999999982E-2</v>
      </c>
      <c r="P112" s="68">
        <v>-208344505</v>
      </c>
      <c r="Q112" s="68">
        <v>-2542588790</v>
      </c>
      <c r="R112" s="68">
        <v>2532041880</v>
      </c>
      <c r="S112" s="65">
        <v>91.584000000000003</v>
      </c>
      <c r="T112" s="65">
        <v>7.36</v>
      </c>
    </row>
    <row r="113" spans="1:20" x14ac:dyDescent="0.25">
      <c r="A113" s="67">
        <v>45925.624467592592</v>
      </c>
      <c r="B113" s="68">
        <v>-1381218895</v>
      </c>
      <c r="C113" s="68">
        <v>438452601</v>
      </c>
      <c r="D113" s="68">
        <v>2020184748</v>
      </c>
      <c r="E113" s="66">
        <v>0.10801910520012513</v>
      </c>
      <c r="F113" s="68">
        <v>-60984406</v>
      </c>
      <c r="G113" s="68">
        <v>40914120</v>
      </c>
      <c r="H113" s="68">
        <v>1231902155</v>
      </c>
      <c r="I113" s="65">
        <v>-224.77500000000001</v>
      </c>
      <c r="J113" s="65">
        <v>-2.4300000000000002</v>
      </c>
      <c r="K113" s="68">
        <v>5953028890</v>
      </c>
      <c r="L113" s="68">
        <v>2723040285</v>
      </c>
      <c r="M113" s="68">
        <v>1301924435</v>
      </c>
      <c r="N113" s="75">
        <v>0.10801910520012513</v>
      </c>
      <c r="O113" s="75">
        <v>9.1899999999999982E-2</v>
      </c>
      <c r="P113" s="68">
        <v>-206950805</v>
      </c>
      <c r="Q113" s="68">
        <v>-2546501230</v>
      </c>
      <c r="R113" s="68">
        <v>2532309720</v>
      </c>
      <c r="S113" s="65">
        <v>91.724000000000004</v>
      </c>
      <c r="T113" s="65">
        <v>7.37</v>
      </c>
    </row>
    <row r="114" spans="1:20" x14ac:dyDescent="0.25">
      <c r="A114" s="67">
        <v>45925.624814814815</v>
      </c>
      <c r="B114" s="68">
        <v>-1375042350</v>
      </c>
      <c r="C114" s="68">
        <v>436667331</v>
      </c>
      <c r="D114" s="68">
        <v>2029726964</v>
      </c>
      <c r="E114" s="66">
        <v>0.10802001274974694</v>
      </c>
      <c r="F114" s="68">
        <v>-55422603</v>
      </c>
      <c r="G114" s="68">
        <v>38103948</v>
      </c>
      <c r="H114" s="68">
        <v>1230116524</v>
      </c>
      <c r="I114" s="65">
        <v>-226.18700000000001</v>
      </c>
      <c r="J114" s="65">
        <v>-2.44</v>
      </c>
      <c r="K114" s="68">
        <v>5962301840</v>
      </c>
      <c r="L114" s="68">
        <v>2666551465</v>
      </c>
      <c r="M114" s="68">
        <v>1308945685</v>
      </c>
      <c r="N114" s="75">
        <v>0.10802001274974694</v>
      </c>
      <c r="O114" s="75">
        <v>9.1899999999999982E-2</v>
      </c>
      <c r="P114" s="68">
        <v>-187011500</v>
      </c>
      <c r="Q114" s="68">
        <v>-2537335335</v>
      </c>
      <c r="R114" s="68">
        <v>2505996075</v>
      </c>
      <c r="S114" s="65">
        <v>92.152000000000001</v>
      </c>
      <c r="T114" s="65">
        <v>7.3650000000000002</v>
      </c>
    </row>
    <row r="115" spans="1:20" x14ac:dyDescent="0.25">
      <c r="A115" s="67">
        <v>45925.625219907408</v>
      </c>
      <c r="B115" s="68">
        <v>-1338234392</v>
      </c>
      <c r="C115" s="68">
        <v>604618437</v>
      </c>
      <c r="D115" s="68">
        <v>1849007850</v>
      </c>
      <c r="E115" s="66">
        <v>0.10802001274974694</v>
      </c>
      <c r="F115" s="68">
        <v>-27625075</v>
      </c>
      <c r="G115" s="68">
        <v>49280512</v>
      </c>
      <c r="H115" s="68">
        <v>1103956897</v>
      </c>
      <c r="I115" s="65">
        <v>-238.584</v>
      </c>
      <c r="J115" s="65">
        <v>-2.4550000000000001</v>
      </c>
      <c r="K115" s="68">
        <v>5969056165</v>
      </c>
      <c r="L115" s="68">
        <v>2655561215</v>
      </c>
      <c r="M115" s="68">
        <v>1313234255</v>
      </c>
      <c r="N115" s="75">
        <v>0.10802001274974694</v>
      </c>
      <c r="O115" s="75">
        <v>9.1899999999999982E-2</v>
      </c>
      <c r="P115" s="68">
        <v>-188726715</v>
      </c>
      <c r="Q115" s="68">
        <v>-2534601415</v>
      </c>
      <c r="R115" s="68">
        <v>2519824370</v>
      </c>
      <c r="S115" s="65">
        <v>92.728999999999999</v>
      </c>
      <c r="T115" s="65">
        <v>7.41</v>
      </c>
    </row>
    <row r="116" spans="1:20" x14ac:dyDescent="0.25">
      <c r="A116" s="67">
        <v>45925.625567129631</v>
      </c>
      <c r="B116" s="68">
        <v>-1355847127</v>
      </c>
      <c r="C116" s="68">
        <v>387525005</v>
      </c>
      <c r="D116" s="68">
        <v>1858903802</v>
      </c>
      <c r="E116" s="66">
        <v>0.10689862125709684</v>
      </c>
      <c r="F116" s="68">
        <v>-7120824</v>
      </c>
      <c r="G116" s="68">
        <v>71691203</v>
      </c>
      <c r="H116" s="68">
        <v>1145728328</v>
      </c>
      <c r="I116" s="65">
        <v>-234.941</v>
      </c>
      <c r="J116" s="65">
        <v>-2.4449999999999998</v>
      </c>
      <c r="K116" s="68">
        <v>5995803795</v>
      </c>
      <c r="L116" s="68">
        <v>2639481340</v>
      </c>
      <c r="M116" s="68">
        <v>1367317900</v>
      </c>
      <c r="N116" s="75">
        <v>0.10689862125709684</v>
      </c>
      <c r="O116" s="75">
        <v>9.1899999999999982E-2</v>
      </c>
      <c r="P116" s="68">
        <v>-199876755</v>
      </c>
      <c r="Q116" s="68">
        <v>-2537119400</v>
      </c>
      <c r="R116" s="68">
        <v>2513231570</v>
      </c>
      <c r="S116" s="65">
        <v>93.266999999999996</v>
      </c>
      <c r="T116" s="65">
        <v>7.4450000000000003</v>
      </c>
    </row>
    <row r="117" spans="1:20" x14ac:dyDescent="0.25">
      <c r="A117" s="67">
        <v>45925.625914351855</v>
      </c>
      <c r="B117" s="68">
        <v>-1324132998</v>
      </c>
      <c r="C117" s="68">
        <v>410931054</v>
      </c>
      <c r="D117" s="68">
        <v>1851767606</v>
      </c>
      <c r="E117" s="66">
        <v>0.10689862125709684</v>
      </c>
      <c r="F117" s="68">
        <v>-35501353</v>
      </c>
      <c r="G117" s="68">
        <v>83920614</v>
      </c>
      <c r="H117" s="68">
        <v>1127063027</v>
      </c>
      <c r="I117" s="65">
        <v>-236.011</v>
      </c>
      <c r="J117" s="65">
        <v>-2.5049999999999999</v>
      </c>
      <c r="K117" s="68">
        <v>6014832815</v>
      </c>
      <c r="L117" s="68">
        <v>2620827800</v>
      </c>
      <c r="M117" s="68">
        <v>1384042130</v>
      </c>
      <c r="N117" s="75">
        <v>0.10689862125709684</v>
      </c>
      <c r="O117" s="75">
        <v>9.1899999999999982E-2</v>
      </c>
      <c r="P117" s="68">
        <v>-198697290</v>
      </c>
      <c r="Q117" s="68">
        <v>-2532455200</v>
      </c>
      <c r="R117" s="68">
        <v>2497955150</v>
      </c>
      <c r="S117" s="65">
        <v>93.247</v>
      </c>
      <c r="T117" s="65">
        <v>7.43</v>
      </c>
    </row>
    <row r="118" spans="1:20" x14ac:dyDescent="0.25">
      <c r="A118" s="67">
        <v>45925.626261574071</v>
      </c>
      <c r="B118" s="68">
        <v>-1322257996</v>
      </c>
      <c r="C118" s="68">
        <v>376313105</v>
      </c>
      <c r="D118" s="68">
        <v>1913977436</v>
      </c>
      <c r="E118" s="66">
        <v>0.10689862125709684</v>
      </c>
      <c r="F118" s="68">
        <v>-43840645</v>
      </c>
      <c r="G118" s="68">
        <v>76284437</v>
      </c>
      <c r="H118" s="68">
        <v>1165834251</v>
      </c>
      <c r="I118" s="65">
        <v>-232.11199999999999</v>
      </c>
      <c r="J118" s="65">
        <v>-2.5049999999999999</v>
      </c>
      <c r="K118" s="68">
        <v>6028661840</v>
      </c>
      <c r="L118" s="68">
        <v>2616539625</v>
      </c>
      <c r="M118" s="68">
        <v>1397817555</v>
      </c>
      <c r="N118" s="75">
        <v>0.10689862125709684</v>
      </c>
      <c r="O118" s="75">
        <v>9.1899999999999982E-2</v>
      </c>
      <c r="P118" s="68">
        <v>-199447695</v>
      </c>
      <c r="Q118" s="68">
        <v>-2534438155</v>
      </c>
      <c r="R118" s="68">
        <v>2493452625</v>
      </c>
      <c r="S118" s="65">
        <v>92.998000000000005</v>
      </c>
      <c r="T118" s="65">
        <v>7.44</v>
      </c>
    </row>
    <row r="119" spans="1:20" x14ac:dyDescent="0.25">
      <c r="A119" s="67">
        <v>45925.626608796294</v>
      </c>
      <c r="B119" s="68">
        <v>-1329865526</v>
      </c>
      <c r="C119" s="68">
        <v>375668581</v>
      </c>
      <c r="D119" s="68">
        <v>1949205478</v>
      </c>
      <c r="E119" s="66">
        <v>0.106897043565088</v>
      </c>
      <c r="F119" s="68">
        <v>-43548226</v>
      </c>
      <c r="G119" s="68">
        <v>71661536</v>
      </c>
      <c r="H119" s="68">
        <v>1183682368</v>
      </c>
      <c r="I119" s="65">
        <v>-232.565</v>
      </c>
      <c r="J119" s="65">
        <v>-2.5099999999999998</v>
      </c>
      <c r="K119" s="68">
        <v>6032896445</v>
      </c>
      <c r="L119" s="68">
        <v>2604961185</v>
      </c>
      <c r="M119" s="68">
        <v>1404196395</v>
      </c>
      <c r="N119" s="75">
        <v>0.106897043565088</v>
      </c>
      <c r="O119" s="75">
        <v>8.4200000000000011E-2</v>
      </c>
      <c r="P119" s="68">
        <v>-191460305</v>
      </c>
      <c r="Q119" s="68">
        <v>-2533902190</v>
      </c>
      <c r="R119" s="68">
        <v>2491790985</v>
      </c>
      <c r="S119" s="65">
        <v>93.182000000000002</v>
      </c>
      <c r="T119" s="65">
        <v>7.49</v>
      </c>
    </row>
    <row r="120" spans="1:20" x14ac:dyDescent="0.25">
      <c r="A120" s="67">
        <v>45925.626956018517</v>
      </c>
      <c r="B120" s="68">
        <v>-1294119796</v>
      </c>
      <c r="C120" s="68">
        <v>412060244</v>
      </c>
      <c r="D120" s="68">
        <v>1874952806</v>
      </c>
      <c r="E120" s="66">
        <v>0.10837280947581664</v>
      </c>
      <c r="F120" s="68">
        <v>-36763849</v>
      </c>
      <c r="G120" s="68">
        <v>89388225</v>
      </c>
      <c r="H120" s="68">
        <v>1130598132</v>
      </c>
      <c r="I120" s="65">
        <v>-244.738</v>
      </c>
      <c r="J120" s="65">
        <v>-2.5350000000000001</v>
      </c>
      <c r="K120" s="68">
        <v>6052408395</v>
      </c>
      <c r="L120" s="68">
        <v>2598102640</v>
      </c>
      <c r="M120" s="68">
        <v>1437701385</v>
      </c>
      <c r="N120" s="75">
        <v>0.10837280947581664</v>
      </c>
      <c r="O120" s="75">
        <v>8.4200000000000011E-2</v>
      </c>
      <c r="P120" s="68">
        <v>-200304915</v>
      </c>
      <c r="Q120" s="68">
        <v>-2527845675</v>
      </c>
      <c r="R120" s="68">
        <v>2487394220</v>
      </c>
      <c r="S120" s="65">
        <v>93.912999999999997</v>
      </c>
      <c r="T120" s="65">
        <v>7.53</v>
      </c>
    </row>
    <row r="121" spans="1:20" x14ac:dyDescent="0.25">
      <c r="A121" s="67">
        <v>45925.627303240741</v>
      </c>
      <c r="B121" s="68">
        <v>-1269934578</v>
      </c>
      <c r="C121" s="68">
        <v>346682861</v>
      </c>
      <c r="D121" s="68">
        <v>1635848183</v>
      </c>
      <c r="E121" s="66">
        <v>0.10874734131102257</v>
      </c>
      <c r="F121" s="68">
        <v>-15011214</v>
      </c>
      <c r="G121" s="68">
        <v>135357360</v>
      </c>
      <c r="H121" s="68">
        <v>1057221561</v>
      </c>
      <c r="I121" s="65">
        <v>-248.79900000000001</v>
      </c>
      <c r="J121" s="65">
        <v>-2.605</v>
      </c>
      <c r="K121" s="68">
        <v>6030694180</v>
      </c>
      <c r="L121" s="68">
        <v>2671716075</v>
      </c>
      <c r="M121" s="68">
        <v>1442151415</v>
      </c>
      <c r="N121" s="75">
        <v>0.10874734131102257</v>
      </c>
      <c r="O121" s="75">
        <v>8.3700000000000011E-2</v>
      </c>
      <c r="P121" s="68">
        <v>-202556815</v>
      </c>
      <c r="Q121" s="68">
        <v>-2550471345</v>
      </c>
      <c r="R121" s="68">
        <v>2553876860</v>
      </c>
      <c r="S121" s="65">
        <v>93.869</v>
      </c>
      <c r="T121" s="65">
        <v>7.23</v>
      </c>
    </row>
    <row r="122" spans="1:20" x14ac:dyDescent="0.25">
      <c r="A122" s="67">
        <v>45925.627650462964</v>
      </c>
      <c r="B122" s="68">
        <v>-1194729583</v>
      </c>
      <c r="C122" s="68">
        <v>287094200</v>
      </c>
      <c r="D122" s="68">
        <v>1603690491</v>
      </c>
      <c r="E122" s="66">
        <v>0.10867589495669959</v>
      </c>
      <c r="F122" s="68">
        <v>-16122846</v>
      </c>
      <c r="G122" s="68">
        <v>172785079</v>
      </c>
      <c r="H122" s="68">
        <v>1028485512</v>
      </c>
      <c r="I122" s="65">
        <v>-251.893</v>
      </c>
      <c r="J122" s="65">
        <v>-2.605</v>
      </c>
      <c r="K122" s="68">
        <v>6030854260</v>
      </c>
      <c r="L122" s="68">
        <v>2652414685</v>
      </c>
      <c r="M122" s="68">
        <v>1465100670</v>
      </c>
      <c r="N122" s="75">
        <v>0.10867589495669959</v>
      </c>
      <c r="O122" s="75">
        <v>8.3700000000000011E-2</v>
      </c>
      <c r="P122" s="68">
        <v>-197999405</v>
      </c>
      <c r="Q122" s="68">
        <v>-2546665145</v>
      </c>
      <c r="R122" s="68">
        <v>2549372825</v>
      </c>
      <c r="S122" s="65">
        <v>94.7</v>
      </c>
      <c r="T122" s="65">
        <v>7.2</v>
      </c>
    </row>
    <row r="123" spans="1:20" x14ac:dyDescent="0.25">
      <c r="A123" s="67">
        <v>45925.62804398148</v>
      </c>
      <c r="B123" s="68">
        <v>-1185784244</v>
      </c>
      <c r="C123" s="68">
        <v>238706869</v>
      </c>
      <c r="D123" s="68">
        <v>1779894834</v>
      </c>
      <c r="E123" s="66">
        <v>0.1155051824633273</v>
      </c>
      <c r="F123" s="68">
        <v>-32527414</v>
      </c>
      <c r="G123" s="68">
        <v>180735917</v>
      </c>
      <c r="H123" s="68">
        <v>1131508334</v>
      </c>
      <c r="I123" s="65">
        <v>-253.113</v>
      </c>
      <c r="J123" s="65">
        <v>-2.58</v>
      </c>
      <c r="K123" s="68">
        <v>6155083195</v>
      </c>
      <c r="L123" s="68">
        <v>2592823590</v>
      </c>
      <c r="M123" s="68">
        <v>1459305515</v>
      </c>
      <c r="N123" s="75">
        <v>0.1155051824633273</v>
      </c>
      <c r="O123" s="75">
        <v>8.3700000000000011E-2</v>
      </c>
      <c r="P123" s="68">
        <v>-147806615</v>
      </c>
      <c r="Q123" s="68">
        <v>-2511481045</v>
      </c>
      <c r="R123" s="68">
        <v>2581979230</v>
      </c>
      <c r="S123" s="65">
        <v>99.757000000000005</v>
      </c>
      <c r="T123" s="65">
        <v>7.4850000000000003</v>
      </c>
    </row>
    <row r="124" spans="1:20" x14ac:dyDescent="0.25">
      <c r="A124" s="67">
        <v>45925.628391203703</v>
      </c>
      <c r="B124" s="68">
        <v>-1169445299</v>
      </c>
      <c r="C124" s="68">
        <v>253845361</v>
      </c>
      <c r="D124" s="68">
        <v>1767452910</v>
      </c>
      <c r="E124" s="66">
        <v>0.11730803562131063</v>
      </c>
      <c r="F124" s="68">
        <v>-46207564</v>
      </c>
      <c r="G124" s="68">
        <v>186990959</v>
      </c>
      <c r="H124" s="68">
        <v>1137446279</v>
      </c>
      <c r="I124" s="65">
        <v>-252.411</v>
      </c>
      <c r="J124" s="65">
        <v>-2.5350000000000001</v>
      </c>
      <c r="K124" s="68">
        <v>6159107325</v>
      </c>
      <c r="L124" s="68">
        <v>2581072570</v>
      </c>
      <c r="M124" s="68">
        <v>1434038570</v>
      </c>
      <c r="N124" s="75">
        <v>0.11730803562131063</v>
      </c>
      <c r="O124" s="75">
        <v>8.3700000000000011E-2</v>
      </c>
      <c r="P124" s="68">
        <v>-92869505</v>
      </c>
      <c r="Q124" s="68">
        <v>-2498391305</v>
      </c>
      <c r="R124" s="68">
        <v>2603384285</v>
      </c>
      <c r="S124" s="65">
        <v>100.32299999999999</v>
      </c>
      <c r="T124" s="65">
        <v>7.53</v>
      </c>
    </row>
    <row r="125" spans="1:20" x14ac:dyDescent="0.25">
      <c r="A125" s="67">
        <v>45925.628738425927</v>
      </c>
      <c r="B125" s="68">
        <v>-1142468881</v>
      </c>
      <c r="C125" s="68">
        <v>263138598</v>
      </c>
      <c r="D125" s="68">
        <v>1791012233</v>
      </c>
      <c r="E125" s="66">
        <v>0.12250470209959725</v>
      </c>
      <c r="F125" s="68">
        <v>-40450042</v>
      </c>
      <c r="G125" s="68">
        <v>201897162</v>
      </c>
      <c r="H125" s="68">
        <v>1143731506</v>
      </c>
      <c r="I125" s="65">
        <v>-257.036</v>
      </c>
      <c r="J125" s="65">
        <v>-2.59</v>
      </c>
      <c r="K125" s="68">
        <v>6368918525</v>
      </c>
      <c r="L125" s="68">
        <v>2513382100</v>
      </c>
      <c r="M125" s="68">
        <v>1544184375</v>
      </c>
      <c r="N125" s="75">
        <v>0.12250470209959725</v>
      </c>
      <c r="O125" s="75">
        <v>8.3700000000000011E-2</v>
      </c>
      <c r="P125" s="68">
        <v>-92977490</v>
      </c>
      <c r="Q125" s="68">
        <v>-2374611785</v>
      </c>
      <c r="R125" s="68">
        <v>2617215830</v>
      </c>
      <c r="S125" s="65">
        <v>106.125</v>
      </c>
      <c r="T125" s="65">
        <v>7.84</v>
      </c>
    </row>
    <row r="126" spans="1:20" x14ac:dyDescent="0.25">
      <c r="A126" s="67">
        <v>45925.62909722222</v>
      </c>
      <c r="B126" s="68">
        <v>-1102103136</v>
      </c>
      <c r="C126" s="68">
        <v>49187640</v>
      </c>
      <c r="D126" s="68">
        <v>1895610701</v>
      </c>
      <c r="E126" s="66">
        <v>0.12288149185091608</v>
      </c>
      <c r="F126" s="68">
        <v>-29725025</v>
      </c>
      <c r="G126" s="68">
        <v>217828193</v>
      </c>
      <c r="H126" s="68">
        <v>1155209473</v>
      </c>
      <c r="I126" s="65">
        <v>-249.744</v>
      </c>
      <c r="J126" s="65">
        <v>-2.585</v>
      </c>
      <c r="K126" s="68">
        <v>6547827505</v>
      </c>
      <c r="L126" s="68">
        <v>2459812055</v>
      </c>
      <c r="M126" s="68">
        <v>1533134160</v>
      </c>
      <c r="N126" s="75">
        <v>0.12288149185091608</v>
      </c>
      <c r="O126" s="75">
        <v>8.3700000000000011E-2</v>
      </c>
      <c r="P126" s="68">
        <v>-104950910</v>
      </c>
      <c r="Q126" s="68">
        <v>-2330164165</v>
      </c>
      <c r="R126" s="68">
        <v>2570088860</v>
      </c>
      <c r="S126" s="65">
        <v>104.946</v>
      </c>
      <c r="T126" s="65">
        <v>7.76</v>
      </c>
    </row>
    <row r="127" spans="1:20" x14ac:dyDescent="0.25">
      <c r="A127" s="67">
        <v>45925.629444444443</v>
      </c>
      <c r="B127" s="68">
        <v>-1159134133</v>
      </c>
      <c r="C127" s="68">
        <v>62049551</v>
      </c>
      <c r="D127" s="68">
        <v>1916100046</v>
      </c>
      <c r="E127" s="66">
        <v>0.12063362240310913</v>
      </c>
      <c r="F127" s="68">
        <v>-28906190</v>
      </c>
      <c r="G127" s="68">
        <v>187661227</v>
      </c>
      <c r="H127" s="68">
        <v>1152752439</v>
      </c>
      <c r="I127" s="65">
        <v>-250.49199999999999</v>
      </c>
      <c r="J127" s="65">
        <v>-2.64</v>
      </c>
      <c r="K127" s="68">
        <v>6539833030</v>
      </c>
      <c r="L127" s="68">
        <v>2452243630</v>
      </c>
      <c r="M127" s="68">
        <v>1521383505</v>
      </c>
      <c r="N127" s="75">
        <v>0.12063362240310913</v>
      </c>
      <c r="O127" s="75">
        <v>8.320000000000001E-2</v>
      </c>
      <c r="P127" s="68">
        <v>-105487905</v>
      </c>
      <c r="Q127" s="68">
        <v>-2328983430</v>
      </c>
      <c r="R127" s="68">
        <v>2558442140</v>
      </c>
      <c r="S127" s="65">
        <v>104.977</v>
      </c>
      <c r="T127" s="65">
        <v>7.7549999999999999</v>
      </c>
    </row>
    <row r="128" spans="1:20" x14ac:dyDescent="0.25">
      <c r="A128" s="67">
        <v>45925.629791666666</v>
      </c>
      <c r="B128" s="68">
        <v>-1180083941</v>
      </c>
      <c r="C128" s="68">
        <v>-59573422</v>
      </c>
      <c r="D128" s="68">
        <v>2203219725</v>
      </c>
      <c r="E128" s="66">
        <v>0.11762167249632652</v>
      </c>
      <c r="F128" s="68">
        <v>-53738402</v>
      </c>
      <c r="G128" s="68">
        <v>155931007</v>
      </c>
      <c r="H128" s="68">
        <v>1373247717</v>
      </c>
      <c r="I128" s="65">
        <v>-237.524</v>
      </c>
      <c r="J128" s="65">
        <v>-2.58</v>
      </c>
      <c r="K128" s="68">
        <v>6546002095</v>
      </c>
      <c r="L128" s="68">
        <v>2467911210</v>
      </c>
      <c r="M128" s="68">
        <v>1538552390</v>
      </c>
      <c r="N128" s="75">
        <v>0.11762167249632652</v>
      </c>
      <c r="O128" s="75">
        <v>8.3000000000000004E-2</v>
      </c>
      <c r="P128" s="68">
        <v>-125713765</v>
      </c>
      <c r="Q128" s="68">
        <v>-2306128585</v>
      </c>
      <c r="R128" s="68">
        <v>2570620590</v>
      </c>
      <c r="S128" s="65">
        <v>104.119</v>
      </c>
      <c r="T128" s="65">
        <v>7.75</v>
      </c>
    </row>
    <row r="129" spans="1:20" x14ac:dyDescent="0.25">
      <c r="A129" s="67">
        <v>45925.63013888889</v>
      </c>
      <c r="B129" s="68">
        <v>-1257709723</v>
      </c>
      <c r="C129" s="68">
        <v>49176230</v>
      </c>
      <c r="D129" s="68">
        <v>2220395371</v>
      </c>
      <c r="E129" s="66">
        <v>0.11762167249632652</v>
      </c>
      <c r="F129" s="68">
        <v>-75383514</v>
      </c>
      <c r="G129" s="68">
        <v>116504567</v>
      </c>
      <c r="H129" s="68">
        <v>1393434912</v>
      </c>
      <c r="I129" s="65">
        <v>-238.49</v>
      </c>
      <c r="J129" s="65">
        <v>-2.5649999999999999</v>
      </c>
      <c r="K129" s="68">
        <v>6483934310</v>
      </c>
      <c r="L129" s="68">
        <v>2460025585</v>
      </c>
      <c r="M129" s="68">
        <v>1503146640</v>
      </c>
      <c r="N129" s="75">
        <v>0.11762167249632652</v>
      </c>
      <c r="O129" s="75">
        <v>8.3000000000000004E-2</v>
      </c>
      <c r="P129" s="68">
        <v>-122710580</v>
      </c>
      <c r="Q129" s="68">
        <v>-2286869315</v>
      </c>
      <c r="R129" s="68">
        <v>2553078840</v>
      </c>
      <c r="S129" s="65">
        <v>102.91200000000001</v>
      </c>
      <c r="T129" s="65">
        <v>7.76</v>
      </c>
    </row>
    <row r="130" spans="1:20" x14ac:dyDescent="0.25">
      <c r="A130" s="67">
        <v>45925.630486111113</v>
      </c>
      <c r="B130" s="68">
        <v>-1299696855</v>
      </c>
      <c r="C130" s="68">
        <v>42713061</v>
      </c>
      <c r="D130" s="68">
        <v>2225276683</v>
      </c>
      <c r="E130" s="66">
        <v>0.11724374354696908</v>
      </c>
      <c r="F130" s="68">
        <v>-74036556</v>
      </c>
      <c r="G130" s="68">
        <v>97616285</v>
      </c>
      <c r="H130" s="68">
        <v>1388493474</v>
      </c>
      <c r="I130" s="65">
        <v>-244.34700000000001</v>
      </c>
      <c r="J130" s="65">
        <v>-2.5499999999999998</v>
      </c>
      <c r="K130" s="68">
        <v>6451469180</v>
      </c>
      <c r="L130" s="68">
        <v>2464104445</v>
      </c>
      <c r="M130" s="68">
        <v>1485061675</v>
      </c>
      <c r="N130" s="75">
        <v>0.11724374354696908</v>
      </c>
      <c r="O130" s="75">
        <v>8.3000000000000004E-2</v>
      </c>
      <c r="P130" s="68">
        <v>-117665790</v>
      </c>
      <c r="Q130" s="68">
        <v>-2307262105</v>
      </c>
      <c r="R130" s="68">
        <v>2549216600</v>
      </c>
      <c r="S130" s="65">
        <v>102.937</v>
      </c>
      <c r="T130" s="65">
        <v>7.78</v>
      </c>
    </row>
    <row r="131" spans="1:20" x14ac:dyDescent="0.25">
      <c r="A131" s="67">
        <v>45925.630833333336</v>
      </c>
      <c r="B131" s="68">
        <v>-1315075765</v>
      </c>
      <c r="C131" s="68">
        <v>64314206</v>
      </c>
      <c r="D131" s="68">
        <v>2292702413</v>
      </c>
      <c r="E131" s="66">
        <v>0.12281497446344043</v>
      </c>
      <c r="F131" s="68">
        <v>-73071966</v>
      </c>
      <c r="G131" s="68">
        <v>84606146</v>
      </c>
      <c r="H131" s="68">
        <v>1427499457</v>
      </c>
      <c r="I131" s="65">
        <v>-246.209</v>
      </c>
      <c r="J131" s="65">
        <v>-2.5550000000000002</v>
      </c>
      <c r="K131" s="68">
        <v>6422432660</v>
      </c>
      <c r="L131" s="68">
        <v>2472909390</v>
      </c>
      <c r="M131" s="68">
        <v>1474058920</v>
      </c>
      <c r="N131" s="75">
        <v>0.12281497446344043</v>
      </c>
      <c r="O131" s="75">
        <v>8.3000000000000004E-2</v>
      </c>
      <c r="P131" s="68">
        <v>-125125760</v>
      </c>
      <c r="Q131" s="68">
        <v>-2340967950</v>
      </c>
      <c r="R131" s="68">
        <v>2559306985</v>
      </c>
      <c r="S131" s="65">
        <v>104.166</v>
      </c>
      <c r="T131" s="65">
        <v>7.875</v>
      </c>
    </row>
    <row r="132" spans="1:20" x14ac:dyDescent="0.25">
      <c r="A132" s="67">
        <v>45925.631585648145</v>
      </c>
      <c r="B132" s="68">
        <v>-1321720104</v>
      </c>
      <c r="C132" s="68">
        <v>122913206</v>
      </c>
      <c r="D132" s="68">
        <v>2283952920</v>
      </c>
      <c r="E132" s="66">
        <v>0.13024855708651245</v>
      </c>
      <c r="F132" s="68">
        <v>-81961075</v>
      </c>
      <c r="G132" s="68">
        <v>79311711</v>
      </c>
      <c r="H132" s="68">
        <v>1393033807</v>
      </c>
      <c r="I132" s="65">
        <v>-251.84800000000001</v>
      </c>
      <c r="J132" s="65">
        <v>-2.605</v>
      </c>
      <c r="K132" s="68">
        <v>6486035590</v>
      </c>
      <c r="L132" s="68">
        <v>2444944615</v>
      </c>
      <c r="M132" s="68">
        <v>1534119645</v>
      </c>
      <c r="N132" s="75">
        <v>0.13024855708651245</v>
      </c>
      <c r="O132" s="75">
        <v>8.3000000000000004E-2</v>
      </c>
      <c r="P132" s="68">
        <v>-157492425</v>
      </c>
      <c r="Q132" s="68">
        <v>-2353419515</v>
      </c>
      <c r="R132" s="68">
        <v>2536762470</v>
      </c>
      <c r="S132" s="65">
        <v>105.355</v>
      </c>
      <c r="T132" s="65">
        <v>7.86</v>
      </c>
    </row>
    <row r="133" spans="1:20" x14ac:dyDescent="0.25">
      <c r="A133" s="67">
        <v>45925.631944444445</v>
      </c>
      <c r="B133" s="68">
        <v>-1295528976</v>
      </c>
      <c r="C133" s="68">
        <v>182991735</v>
      </c>
      <c r="D133" s="68">
        <v>2225343907</v>
      </c>
      <c r="E133" s="66">
        <v>0.13326899489733504</v>
      </c>
      <c r="F133" s="68">
        <v>-70034582</v>
      </c>
      <c r="G133" s="68">
        <v>91500816</v>
      </c>
      <c r="H133" s="68">
        <v>1370936919</v>
      </c>
      <c r="I133" s="65">
        <v>-249.94800000000001</v>
      </c>
      <c r="J133" s="65">
        <v>-2.605</v>
      </c>
      <c r="K133" s="68">
        <v>6661834910</v>
      </c>
      <c r="L133" s="68">
        <v>2325961675</v>
      </c>
      <c r="M133" s="68">
        <v>1651549315</v>
      </c>
      <c r="N133" s="75">
        <v>0.13326899489733504</v>
      </c>
      <c r="O133" s="75">
        <v>8.3000000000000004E-2</v>
      </c>
      <c r="P133" s="68">
        <v>-199207345</v>
      </c>
      <c r="Q133" s="68">
        <v>-2445013780</v>
      </c>
      <c r="R133" s="68">
        <v>2468517935</v>
      </c>
      <c r="S133" s="65">
        <v>109.547</v>
      </c>
      <c r="T133" s="65">
        <v>8.4550000000000001</v>
      </c>
    </row>
    <row r="134" spans="1:20" x14ac:dyDescent="0.25">
      <c r="A134" s="67">
        <v>45925.632291666669</v>
      </c>
      <c r="B134" s="68">
        <v>-1239396512</v>
      </c>
      <c r="C134" s="68">
        <v>124190973</v>
      </c>
      <c r="D134" s="68">
        <v>2335325363</v>
      </c>
      <c r="E134" s="66">
        <v>0.13510445254222853</v>
      </c>
      <c r="F134" s="68">
        <v>-59801160</v>
      </c>
      <c r="G134" s="68">
        <v>124128418</v>
      </c>
      <c r="H134" s="68">
        <v>1407423895</v>
      </c>
      <c r="I134" s="65">
        <v>-248.06299999999999</v>
      </c>
      <c r="J134" s="65">
        <v>-2.625</v>
      </c>
      <c r="K134" s="68">
        <v>6722176945</v>
      </c>
      <c r="L134" s="68">
        <v>2383182850</v>
      </c>
      <c r="M134" s="68">
        <v>1703943620</v>
      </c>
      <c r="N134" s="75">
        <v>0.13510445254222853</v>
      </c>
      <c r="O134" s="75">
        <v>8.3000000000000004E-2</v>
      </c>
      <c r="P134" s="68">
        <v>-192120550</v>
      </c>
      <c r="Q134" s="68">
        <v>-2394713200</v>
      </c>
      <c r="R134" s="68">
        <v>2478929230</v>
      </c>
      <c r="S134" s="65">
        <v>107.324</v>
      </c>
      <c r="T134" s="65">
        <v>8.2750000000000004</v>
      </c>
    </row>
    <row r="135" spans="1:20" x14ac:dyDescent="0.25">
      <c r="A135" s="67">
        <v>45925.632638888892</v>
      </c>
      <c r="B135" s="68">
        <v>-1249187104</v>
      </c>
      <c r="C135" s="68">
        <v>122729671</v>
      </c>
      <c r="D135" s="68">
        <v>2316296984</v>
      </c>
      <c r="E135" s="66">
        <v>0.13512707124640716</v>
      </c>
      <c r="F135" s="68">
        <v>-46968224</v>
      </c>
      <c r="G135" s="68">
        <v>116967660</v>
      </c>
      <c r="H135" s="68">
        <v>1390674602</v>
      </c>
      <c r="I135" s="65">
        <v>-249.89500000000001</v>
      </c>
      <c r="J135" s="65">
        <v>-2.645</v>
      </c>
      <c r="K135" s="68">
        <v>6744030610</v>
      </c>
      <c r="L135" s="68">
        <v>2389030555</v>
      </c>
      <c r="M135" s="68">
        <v>1665835365</v>
      </c>
      <c r="N135" s="75">
        <v>0.13512707124640716</v>
      </c>
      <c r="O135" s="75">
        <v>8.3000000000000004E-2</v>
      </c>
      <c r="P135" s="68">
        <v>-201623090</v>
      </c>
      <c r="Q135" s="68">
        <v>-2364968260</v>
      </c>
      <c r="R135" s="68">
        <v>2492026820</v>
      </c>
      <c r="S135" s="65">
        <v>107.742</v>
      </c>
      <c r="T135" s="65">
        <v>8.2899999999999991</v>
      </c>
    </row>
    <row r="136" spans="1:20" x14ac:dyDescent="0.25">
      <c r="A136" s="67">
        <v>45925.632986111108</v>
      </c>
      <c r="B136" s="68">
        <v>-1235798918</v>
      </c>
      <c r="C136" s="68">
        <v>128020088</v>
      </c>
      <c r="D136" s="68">
        <v>2340354280</v>
      </c>
      <c r="E136" s="66">
        <v>0.13512707124640716</v>
      </c>
      <c r="F136" s="68">
        <v>-47260853</v>
      </c>
      <c r="G136" s="68">
        <v>119715581</v>
      </c>
      <c r="H136" s="68">
        <v>1407015223</v>
      </c>
      <c r="I136" s="65">
        <v>-249.53</v>
      </c>
      <c r="J136" s="65">
        <v>-2.66</v>
      </c>
      <c r="K136" s="68">
        <v>6745052170</v>
      </c>
      <c r="L136" s="68">
        <v>2341299855</v>
      </c>
      <c r="M136" s="68">
        <v>1728920240</v>
      </c>
      <c r="N136" s="75">
        <v>0.13512707124640716</v>
      </c>
      <c r="O136" s="75">
        <v>8.3000000000000004E-2</v>
      </c>
      <c r="P136" s="68">
        <v>-217032175</v>
      </c>
      <c r="Q136" s="68">
        <v>-2374740265</v>
      </c>
      <c r="R136" s="68">
        <v>2476080520</v>
      </c>
      <c r="S136" s="65">
        <v>108.93300000000001</v>
      </c>
      <c r="T136" s="65">
        <v>8.2799999999999994</v>
      </c>
    </row>
    <row r="137" spans="1:20" x14ac:dyDescent="0.25">
      <c r="A137" s="67">
        <v>45925.633344907408</v>
      </c>
      <c r="B137" s="68">
        <v>-1197294804</v>
      </c>
      <c r="C137" s="68">
        <v>97790815</v>
      </c>
      <c r="D137" s="68">
        <v>2358426004</v>
      </c>
      <c r="E137" s="66">
        <v>0.13878227702999926</v>
      </c>
      <c r="F137" s="68">
        <v>-53195595</v>
      </c>
      <c r="G137" s="68">
        <v>134333951</v>
      </c>
      <c r="H137" s="68">
        <v>1416519490</v>
      </c>
      <c r="I137" s="65">
        <v>-249.05199999999999</v>
      </c>
      <c r="J137" s="65">
        <v>-2.6749999999999998</v>
      </c>
      <c r="K137" s="68">
        <v>6745370405</v>
      </c>
      <c r="L137" s="68">
        <v>2405750895</v>
      </c>
      <c r="M137" s="68">
        <v>1670270160</v>
      </c>
      <c r="N137" s="75">
        <v>0.13878227702999926</v>
      </c>
      <c r="O137" s="75">
        <v>8.3000000000000004E-2</v>
      </c>
      <c r="P137" s="68">
        <v>-225514860</v>
      </c>
      <c r="Q137" s="68">
        <v>-2355356765</v>
      </c>
      <c r="R137" s="68">
        <v>2552724535</v>
      </c>
      <c r="S137" s="65">
        <v>110.22499999999999</v>
      </c>
      <c r="T137" s="65">
        <v>8.3800000000000008</v>
      </c>
    </row>
    <row r="138" spans="1:20" x14ac:dyDescent="0.25">
      <c r="A138" s="67">
        <v>45925.633692129632</v>
      </c>
      <c r="B138" s="68">
        <v>-1150109281</v>
      </c>
      <c r="C138" s="68">
        <v>170438481</v>
      </c>
      <c r="D138" s="68">
        <v>2326560682</v>
      </c>
      <c r="E138" s="66">
        <v>0.14178706986130621</v>
      </c>
      <c r="F138" s="68">
        <v>-60972172</v>
      </c>
      <c r="G138" s="68">
        <v>128282407</v>
      </c>
      <c r="H138" s="68">
        <v>1412660943</v>
      </c>
      <c r="I138" s="65">
        <v>-247.53100000000001</v>
      </c>
      <c r="J138" s="65">
        <v>-2.63</v>
      </c>
      <c r="K138" s="68">
        <v>6684149610</v>
      </c>
      <c r="L138" s="68">
        <v>2496610355</v>
      </c>
      <c r="M138" s="68">
        <v>1627524140</v>
      </c>
      <c r="N138" s="75">
        <v>0.14178706986130621</v>
      </c>
      <c r="O138" s="75">
        <v>8.3000000000000004E-2</v>
      </c>
      <c r="P138" s="68">
        <v>-227555210</v>
      </c>
      <c r="Q138" s="68">
        <v>-2420281825</v>
      </c>
      <c r="R138" s="68">
        <v>2566201950</v>
      </c>
      <c r="S138" s="65">
        <v>109.40300000000001</v>
      </c>
      <c r="T138" s="65">
        <v>8.25</v>
      </c>
    </row>
    <row r="139" spans="1:20" x14ac:dyDescent="0.25">
      <c r="A139" s="67">
        <v>45925.634039351855</v>
      </c>
      <c r="B139" s="68">
        <v>-1155898754</v>
      </c>
      <c r="C139" s="68">
        <v>128949264</v>
      </c>
      <c r="D139" s="68">
        <v>2356617633</v>
      </c>
      <c r="E139" s="66">
        <v>0.13990104031635653</v>
      </c>
      <c r="F139" s="68">
        <v>-63632832</v>
      </c>
      <c r="G139" s="68">
        <v>129568817</v>
      </c>
      <c r="H139" s="68">
        <v>1422017143</v>
      </c>
      <c r="I139" s="65">
        <v>-245.66399999999999</v>
      </c>
      <c r="J139" s="65">
        <v>-2.5350000000000001</v>
      </c>
      <c r="K139" s="68">
        <v>6727153725</v>
      </c>
      <c r="L139" s="68">
        <v>2525709085</v>
      </c>
      <c r="M139" s="68">
        <v>1661939410</v>
      </c>
      <c r="N139" s="75">
        <v>0.13990104031635653</v>
      </c>
      <c r="O139" s="75">
        <v>8.1799999999999998E-2</v>
      </c>
      <c r="P139" s="68">
        <v>-229809850</v>
      </c>
      <c r="Q139" s="68">
        <v>-2421461975</v>
      </c>
      <c r="R139" s="68">
        <v>2588106310</v>
      </c>
      <c r="S139" s="65">
        <v>108.49299999999999</v>
      </c>
      <c r="T139" s="65">
        <v>8.2449999999999992</v>
      </c>
    </row>
    <row r="140" spans="1:20" x14ac:dyDescent="0.25">
      <c r="A140" s="67">
        <v>45925.634386574071</v>
      </c>
      <c r="B140" s="68">
        <v>-1160429656</v>
      </c>
      <c r="C140" s="68">
        <v>145524614</v>
      </c>
      <c r="D140" s="68">
        <v>2429797177</v>
      </c>
      <c r="E140" s="66">
        <v>0.13913321814249954</v>
      </c>
      <c r="F140" s="68">
        <v>-62785138</v>
      </c>
      <c r="G140" s="68">
        <v>122026418</v>
      </c>
      <c r="H140" s="68">
        <v>1458416808</v>
      </c>
      <c r="I140" s="65">
        <v>-246.411</v>
      </c>
      <c r="J140" s="65">
        <v>-2.54</v>
      </c>
      <c r="K140" s="68">
        <v>6723234935</v>
      </c>
      <c r="L140" s="68">
        <v>2579122245</v>
      </c>
      <c r="M140" s="68">
        <v>1666019640</v>
      </c>
      <c r="N140" s="75">
        <v>0.13913321814249954</v>
      </c>
      <c r="O140" s="75">
        <v>8.1799999999999998E-2</v>
      </c>
      <c r="P140" s="68">
        <v>-236359130</v>
      </c>
      <c r="Q140" s="68">
        <v>-2451846250</v>
      </c>
      <c r="R140" s="68">
        <v>2624717470</v>
      </c>
      <c r="S140" s="65">
        <v>107.068</v>
      </c>
      <c r="T140" s="65">
        <v>8.15</v>
      </c>
    </row>
    <row r="141" spans="1:20" x14ac:dyDescent="0.25">
      <c r="A141" s="67">
        <v>45925.634733796294</v>
      </c>
      <c r="B141" s="68">
        <v>-1144932130</v>
      </c>
      <c r="C141" s="68">
        <v>98120804</v>
      </c>
      <c r="D141" s="68">
        <v>2452728692</v>
      </c>
      <c r="E141" s="66">
        <v>0.13952407414723753</v>
      </c>
      <c r="F141" s="68">
        <v>-76002594</v>
      </c>
      <c r="G141" s="68">
        <v>129862962</v>
      </c>
      <c r="H141" s="68">
        <v>1462570706</v>
      </c>
      <c r="I141" s="65">
        <v>-241.50399999999999</v>
      </c>
      <c r="J141" s="65">
        <v>-2.5150000000000001</v>
      </c>
      <c r="K141" s="68">
        <v>6710189705</v>
      </c>
      <c r="L141" s="68">
        <v>2588892965</v>
      </c>
      <c r="M141" s="68">
        <v>1654692350</v>
      </c>
      <c r="N141" s="75">
        <v>0.13952407414723753</v>
      </c>
      <c r="O141" s="75">
        <v>8.1799999999999998E-2</v>
      </c>
      <c r="P141" s="68">
        <v>-236037020</v>
      </c>
      <c r="Q141" s="68">
        <v>-2464784335</v>
      </c>
      <c r="R141" s="68">
        <v>2638246140</v>
      </c>
      <c r="S141" s="65">
        <v>107.063</v>
      </c>
      <c r="T141" s="65">
        <v>8.1549999999999994</v>
      </c>
    </row>
    <row r="142" spans="1:20" x14ac:dyDescent="0.25">
      <c r="A142" s="67">
        <v>45925.635081018518</v>
      </c>
      <c r="B142" s="68">
        <v>-1160870064</v>
      </c>
      <c r="C142" s="68">
        <v>60141761</v>
      </c>
      <c r="D142" s="68">
        <v>2434105830</v>
      </c>
      <c r="E142" s="66">
        <v>0.13988096208442516</v>
      </c>
      <c r="F142" s="68">
        <v>-64658376</v>
      </c>
      <c r="G142" s="68">
        <v>117931885</v>
      </c>
      <c r="H142" s="68">
        <v>1424590933</v>
      </c>
      <c r="I142" s="65">
        <v>-244.328</v>
      </c>
      <c r="J142" s="65">
        <v>-2.5649999999999999</v>
      </c>
      <c r="K142" s="68">
        <v>6717920415</v>
      </c>
      <c r="L142" s="68">
        <v>2587926560</v>
      </c>
      <c r="M142" s="68">
        <v>1653565035</v>
      </c>
      <c r="N142" s="75">
        <v>0.13988096208442516</v>
      </c>
      <c r="O142" s="75">
        <v>8.1799999999999998E-2</v>
      </c>
      <c r="P142" s="68">
        <v>-236037020</v>
      </c>
      <c r="Q142" s="68">
        <v>-2455121115</v>
      </c>
      <c r="R142" s="68">
        <v>2639105020</v>
      </c>
      <c r="S142" s="65">
        <v>107.163</v>
      </c>
      <c r="T142" s="65">
        <v>8.15</v>
      </c>
    </row>
    <row r="143" spans="1:20" x14ac:dyDescent="0.25">
      <c r="A143" s="67">
        <v>45925.635428240741</v>
      </c>
      <c r="B143" s="68">
        <v>-1145897752</v>
      </c>
      <c r="C143" s="68">
        <v>75492479</v>
      </c>
      <c r="D143" s="68">
        <v>2458990284</v>
      </c>
      <c r="E143" s="66">
        <v>0.1398838208915163</v>
      </c>
      <c r="F143" s="68">
        <v>-77612802</v>
      </c>
      <c r="G143" s="68">
        <v>118400035</v>
      </c>
      <c r="H143" s="68">
        <v>1429855144</v>
      </c>
      <c r="I143" s="65">
        <v>-244.392</v>
      </c>
      <c r="J143" s="65">
        <v>-2.57</v>
      </c>
      <c r="K143" s="68">
        <v>6737674520</v>
      </c>
      <c r="L143" s="68">
        <v>2567903345</v>
      </c>
      <c r="M143" s="68">
        <v>1645191230</v>
      </c>
      <c r="N143" s="75">
        <v>0.1398838208915163</v>
      </c>
      <c r="O143" s="75">
        <v>8.1500000000000003E-2</v>
      </c>
      <c r="P143" s="68">
        <v>-240439195</v>
      </c>
      <c r="Q143" s="68">
        <v>-2452329995</v>
      </c>
      <c r="R143" s="68">
        <v>2623269745</v>
      </c>
      <c r="S143" s="65">
        <v>107.017</v>
      </c>
      <c r="T143" s="65">
        <v>8.0950000000000006</v>
      </c>
    </row>
    <row r="144" spans="1:20" x14ac:dyDescent="0.25">
      <c r="A144" s="67">
        <v>45925.635914351849</v>
      </c>
      <c r="B144" s="68">
        <v>-1224503564</v>
      </c>
      <c r="C144" s="68">
        <v>47896106</v>
      </c>
      <c r="D144" s="68">
        <v>2684420396</v>
      </c>
      <c r="E144" s="66">
        <v>0.13988312417030024</v>
      </c>
      <c r="F144" s="68">
        <v>-112044857</v>
      </c>
      <c r="G144" s="68">
        <v>91222360</v>
      </c>
      <c r="H144" s="68">
        <v>1525092101</v>
      </c>
      <c r="I144" s="65">
        <v>-233.488</v>
      </c>
      <c r="J144" s="65">
        <v>-2.5550000000000002</v>
      </c>
      <c r="K144" s="68">
        <v>6785176500</v>
      </c>
      <c r="L144" s="68">
        <v>2601491455</v>
      </c>
      <c r="M144" s="68">
        <v>1658623690</v>
      </c>
      <c r="N144" s="75">
        <v>0.13988312417030024</v>
      </c>
      <c r="O144" s="75">
        <v>8.1500000000000003E-2</v>
      </c>
      <c r="P144" s="68">
        <v>-258047635</v>
      </c>
      <c r="Q144" s="68">
        <v>-2393987985</v>
      </c>
      <c r="R144" s="68">
        <v>2632174020</v>
      </c>
      <c r="S144" s="65">
        <v>101.95399999999999</v>
      </c>
      <c r="T144" s="65">
        <v>7.9749999999999996</v>
      </c>
    </row>
    <row r="145" spans="1:20" x14ac:dyDescent="0.25">
      <c r="A145" s="67">
        <v>45925.636261574073</v>
      </c>
      <c r="B145" s="68">
        <v>-1240476688</v>
      </c>
      <c r="C145" s="68">
        <v>44122080</v>
      </c>
      <c r="D145" s="68">
        <v>2682959928</v>
      </c>
      <c r="E145" s="66">
        <v>0.14023715330039677</v>
      </c>
      <c r="F145" s="68">
        <v>-101308952</v>
      </c>
      <c r="G145" s="68">
        <v>82709236</v>
      </c>
      <c r="H145" s="68">
        <v>1496248912</v>
      </c>
      <c r="I145" s="65">
        <v>-233.99100000000001</v>
      </c>
      <c r="J145" s="65">
        <v>-2.5649999999999999</v>
      </c>
      <c r="K145" s="68">
        <v>6807449095</v>
      </c>
      <c r="L145" s="68">
        <v>2581204540</v>
      </c>
      <c r="M145" s="68">
        <v>1700002125</v>
      </c>
      <c r="N145" s="75">
        <v>0.14023715330039677</v>
      </c>
      <c r="O145" s="75">
        <v>8.1500000000000003E-2</v>
      </c>
      <c r="P145" s="68">
        <v>-266151790</v>
      </c>
      <c r="Q145" s="68">
        <v>-2394954025</v>
      </c>
      <c r="R145" s="68">
        <v>2612961525</v>
      </c>
      <c r="S145" s="65">
        <v>102.47199999999999</v>
      </c>
      <c r="T145" s="65">
        <v>7.97</v>
      </c>
    </row>
    <row r="146" spans="1:20" x14ac:dyDescent="0.25">
      <c r="A146" s="67">
        <v>45925.636608796296</v>
      </c>
      <c r="B146" s="68">
        <v>-1253700764</v>
      </c>
      <c r="C146" s="68">
        <v>68436752</v>
      </c>
      <c r="D146" s="68">
        <v>2666869596</v>
      </c>
      <c r="E146" s="66">
        <v>0.13988026536320911</v>
      </c>
      <c r="F146" s="68">
        <v>-89314223</v>
      </c>
      <c r="G146" s="68">
        <v>67817686</v>
      </c>
      <c r="H146" s="68">
        <v>1484722518</v>
      </c>
      <c r="I146" s="65">
        <v>-233.36600000000001</v>
      </c>
      <c r="J146" s="65">
        <v>-2.6</v>
      </c>
      <c r="K146" s="68">
        <v>6804230195</v>
      </c>
      <c r="L146" s="68">
        <v>2578305805</v>
      </c>
      <c r="M146" s="68">
        <v>1689485055</v>
      </c>
      <c r="N146" s="75">
        <v>0.13988026536320911</v>
      </c>
      <c r="O146" s="75">
        <v>8.1000000000000003E-2</v>
      </c>
      <c r="P146" s="68">
        <v>-268835415</v>
      </c>
      <c r="Q146" s="68">
        <v>-2405043410</v>
      </c>
      <c r="R146" s="68">
        <v>2624230995</v>
      </c>
      <c r="S146" s="65">
        <v>101.36799999999999</v>
      </c>
      <c r="T146" s="65">
        <v>7.9749999999999996</v>
      </c>
    </row>
    <row r="147" spans="1:20" x14ac:dyDescent="0.25">
      <c r="A147" s="67">
        <v>45925.637118055558</v>
      </c>
      <c r="B147" s="68">
        <v>-1291234439</v>
      </c>
      <c r="C147" s="68">
        <v>51029248</v>
      </c>
      <c r="D147" s="68">
        <v>2681495035</v>
      </c>
      <c r="E147" s="66">
        <v>0.14213109269433619</v>
      </c>
      <c r="F147" s="68">
        <v>-79309330</v>
      </c>
      <c r="G147" s="68">
        <v>56408516</v>
      </c>
      <c r="H147" s="68">
        <v>1489489924</v>
      </c>
      <c r="I147" s="65">
        <v>-234.48500000000001</v>
      </c>
      <c r="J147" s="65">
        <v>-2.63</v>
      </c>
      <c r="K147" s="68">
        <v>6766556535</v>
      </c>
      <c r="L147" s="68">
        <v>2594995425</v>
      </c>
      <c r="M147" s="68">
        <v>1700056670</v>
      </c>
      <c r="N147" s="75">
        <v>0.14213109269433619</v>
      </c>
      <c r="O147" s="75">
        <v>8.1000000000000003E-2</v>
      </c>
      <c r="P147" s="68">
        <v>-269318370</v>
      </c>
      <c r="Q147" s="68">
        <v>-2407189860</v>
      </c>
      <c r="R147" s="68">
        <v>2632871045</v>
      </c>
      <c r="S147" s="65">
        <v>100.41500000000001</v>
      </c>
      <c r="T147" s="65">
        <v>8.0050000000000008</v>
      </c>
    </row>
    <row r="148" spans="1:20" x14ac:dyDescent="0.25">
      <c r="A148" s="67">
        <v>45925.637465277781</v>
      </c>
      <c r="B148" s="68">
        <v>-1274123289</v>
      </c>
      <c r="C148" s="68">
        <v>109178188</v>
      </c>
      <c r="D148" s="68">
        <v>2636920845</v>
      </c>
      <c r="E148" s="66">
        <v>0.14213109269433619</v>
      </c>
      <c r="F148" s="68">
        <v>-71207364</v>
      </c>
      <c r="G148" s="68">
        <v>61673320</v>
      </c>
      <c r="H148" s="68">
        <v>1459334251</v>
      </c>
      <c r="I148" s="65">
        <v>-237.899</v>
      </c>
      <c r="J148" s="65">
        <v>-2.645</v>
      </c>
      <c r="K148" s="68">
        <v>6811428545</v>
      </c>
      <c r="L148" s="68">
        <v>2567942275</v>
      </c>
      <c r="M148" s="68">
        <v>1689537085</v>
      </c>
      <c r="N148" s="75">
        <v>0.14213109269433619</v>
      </c>
      <c r="O148" s="75">
        <v>8.1500000000000003E-2</v>
      </c>
      <c r="P148" s="68">
        <v>-261050510</v>
      </c>
      <c r="Q148" s="68">
        <v>-2403486110</v>
      </c>
      <c r="R148" s="68">
        <v>2640223820</v>
      </c>
      <c r="S148" s="65">
        <v>100.56399999999999</v>
      </c>
      <c r="T148" s="65">
        <v>8.1150000000000002</v>
      </c>
    </row>
    <row r="149" spans="1:20" x14ac:dyDescent="0.25">
      <c r="A149" s="67">
        <v>45925.637812499997</v>
      </c>
      <c r="B149" s="68">
        <v>-1255549454</v>
      </c>
      <c r="C149" s="68">
        <v>104205331</v>
      </c>
      <c r="D149" s="68">
        <v>2623258048</v>
      </c>
      <c r="E149" s="66">
        <v>0.14213109269433619</v>
      </c>
      <c r="F149" s="68">
        <v>-69013482</v>
      </c>
      <c r="G149" s="68">
        <v>68985837</v>
      </c>
      <c r="H149" s="68">
        <v>1456817807</v>
      </c>
      <c r="I149" s="65">
        <v>-237.07</v>
      </c>
      <c r="J149" s="65">
        <v>-2.65</v>
      </c>
      <c r="K149" s="68">
        <v>6856568825</v>
      </c>
      <c r="L149" s="68">
        <v>2563701650</v>
      </c>
      <c r="M149" s="68">
        <v>1727753960</v>
      </c>
      <c r="N149" s="75">
        <v>0.14213109269433619</v>
      </c>
      <c r="O149" s="75">
        <v>8.1500000000000003E-2</v>
      </c>
      <c r="P149" s="68">
        <v>-263466400</v>
      </c>
      <c r="Q149" s="68">
        <v>-2420877130</v>
      </c>
      <c r="R149" s="68">
        <v>2638130275</v>
      </c>
      <c r="S149" s="65">
        <v>100.46299999999999</v>
      </c>
      <c r="T149" s="65">
        <v>8.0549999999999997</v>
      </c>
    </row>
    <row r="150" spans="1:20" x14ac:dyDescent="0.25">
      <c r="A150" s="67">
        <v>45925.638159722221</v>
      </c>
      <c r="B150" s="68">
        <v>-1260815332</v>
      </c>
      <c r="C150" s="68">
        <v>110403007</v>
      </c>
      <c r="D150" s="68">
        <v>2591349271</v>
      </c>
      <c r="E150" s="66">
        <v>0.14177420475714853</v>
      </c>
      <c r="F150" s="68">
        <v>-56728567</v>
      </c>
      <c r="G150" s="68">
        <v>67318392</v>
      </c>
      <c r="H150" s="68">
        <v>1446289763</v>
      </c>
      <c r="I150" s="65">
        <v>-237.91200000000001</v>
      </c>
      <c r="J150" s="65">
        <v>-2.6549999999999998</v>
      </c>
      <c r="K150" s="68">
        <v>6820613530</v>
      </c>
      <c r="L150" s="68">
        <v>2535896640</v>
      </c>
      <c r="M150" s="68">
        <v>1724484335</v>
      </c>
      <c r="N150" s="75">
        <v>0.14177420475714853</v>
      </c>
      <c r="O150" s="75">
        <v>8.1500000000000003E-2</v>
      </c>
      <c r="P150" s="68">
        <v>-271356750</v>
      </c>
      <c r="Q150" s="68">
        <v>-2413524490</v>
      </c>
      <c r="R150" s="68">
        <v>2607645190</v>
      </c>
      <c r="S150" s="65">
        <v>100.446</v>
      </c>
      <c r="T150" s="65">
        <v>7.94</v>
      </c>
    </row>
    <row r="151" spans="1:20" x14ac:dyDescent="0.25">
      <c r="A151" s="67">
        <v>45925.638518518521</v>
      </c>
      <c r="B151" s="68">
        <v>-1290270980</v>
      </c>
      <c r="C151" s="68">
        <v>111660824</v>
      </c>
      <c r="D151" s="68">
        <v>2625484488</v>
      </c>
      <c r="E151" s="66">
        <v>0.13953298170781656</v>
      </c>
      <c r="F151" s="68">
        <v>-58483687</v>
      </c>
      <c r="G151" s="68">
        <v>52810047</v>
      </c>
      <c r="H151" s="68">
        <v>1463079659</v>
      </c>
      <c r="I151" s="65">
        <v>-237.209</v>
      </c>
      <c r="J151" s="65">
        <v>-2.6549999999999998</v>
      </c>
      <c r="K151" s="68">
        <v>6837148750</v>
      </c>
      <c r="L151" s="68">
        <v>2522315430</v>
      </c>
      <c r="M151" s="68">
        <v>1703122930</v>
      </c>
      <c r="N151" s="75">
        <v>0.13953298170781656</v>
      </c>
      <c r="O151" s="75">
        <v>8.1500000000000003E-2</v>
      </c>
      <c r="P151" s="68">
        <v>-275489950</v>
      </c>
      <c r="Q151" s="68">
        <v>-2444010640</v>
      </c>
      <c r="R151" s="68">
        <v>2599862230</v>
      </c>
      <c r="S151" s="65">
        <v>100.414</v>
      </c>
      <c r="T151" s="65">
        <v>7.9349999999999996</v>
      </c>
    </row>
    <row r="152" spans="1:20" x14ac:dyDescent="0.25">
      <c r="A152" s="67">
        <v>45925.639768518522</v>
      </c>
      <c r="B152" s="68">
        <v>-1277547865</v>
      </c>
      <c r="C152" s="68">
        <v>199131193</v>
      </c>
      <c r="D152" s="68">
        <v>2599301765</v>
      </c>
      <c r="E152" s="66">
        <v>0.14545838622801147</v>
      </c>
      <c r="F152" s="68">
        <v>-62839610</v>
      </c>
      <c r="G152" s="68">
        <v>46987553</v>
      </c>
      <c r="H152" s="68">
        <v>1471242935</v>
      </c>
      <c r="I152" s="65">
        <v>-235.68</v>
      </c>
      <c r="J152" s="65">
        <v>-2.6949999999999998</v>
      </c>
      <c r="K152" s="68">
        <v>6941501105</v>
      </c>
      <c r="L152" s="68">
        <v>2427566625</v>
      </c>
      <c r="M152" s="68">
        <v>1786327835</v>
      </c>
      <c r="N152" s="75">
        <v>0.14545838622801147</v>
      </c>
      <c r="O152" s="75">
        <v>8.1500000000000003E-2</v>
      </c>
      <c r="P152" s="68">
        <v>-268188350</v>
      </c>
      <c r="Q152" s="68">
        <v>-2477879655</v>
      </c>
      <c r="R152" s="68">
        <v>2578440790</v>
      </c>
      <c r="S152" s="65">
        <v>102.748</v>
      </c>
      <c r="T152" s="65">
        <v>7.9349999999999996</v>
      </c>
    </row>
    <row r="153" spans="1:20" x14ac:dyDescent="0.25">
      <c r="A153" s="67">
        <v>45925.640185185184</v>
      </c>
      <c r="B153" s="68">
        <v>-1289135431</v>
      </c>
      <c r="C153" s="68">
        <v>170015524</v>
      </c>
      <c r="D153" s="68">
        <v>2609309740</v>
      </c>
      <c r="E153" s="66">
        <v>0.14434134500809567</v>
      </c>
      <c r="F153" s="68">
        <v>-63717107</v>
      </c>
      <c r="G153" s="68">
        <v>41691437</v>
      </c>
      <c r="H153" s="68">
        <v>1475222623</v>
      </c>
      <c r="I153" s="65">
        <v>-232.167</v>
      </c>
      <c r="J153" s="65">
        <v>-2.67</v>
      </c>
      <c r="K153" s="68">
        <v>6964639860</v>
      </c>
      <c r="L153" s="68">
        <v>2373825800</v>
      </c>
      <c r="M153" s="68">
        <v>1840180265</v>
      </c>
      <c r="N153" s="75">
        <v>0.14434134500809567</v>
      </c>
      <c r="O153" s="75">
        <v>9.3700000000000006E-2</v>
      </c>
      <c r="P153" s="68">
        <v>-252726220</v>
      </c>
      <c r="Q153" s="68">
        <v>-2454149300</v>
      </c>
      <c r="R153" s="68">
        <v>2558898105</v>
      </c>
      <c r="S153" s="65">
        <v>103.571</v>
      </c>
      <c r="T153" s="65">
        <v>7.8150000000000004</v>
      </c>
    </row>
    <row r="154" spans="1:20" x14ac:dyDescent="0.25">
      <c r="A154" s="67">
        <v>45925.640532407408</v>
      </c>
      <c r="B154" s="68">
        <v>-1293644317</v>
      </c>
      <c r="C154" s="68">
        <v>150938775</v>
      </c>
      <c r="D154" s="68">
        <v>2626021079</v>
      </c>
      <c r="E154" s="66">
        <v>0.14134823207544192</v>
      </c>
      <c r="F154" s="68">
        <v>-55349275</v>
      </c>
      <c r="G154" s="68">
        <v>51990083</v>
      </c>
      <c r="H154" s="68">
        <v>1472298110</v>
      </c>
      <c r="I154" s="65">
        <v>-233.20699999999999</v>
      </c>
      <c r="J154" s="65">
        <v>-2.6749999999999998</v>
      </c>
      <c r="K154" s="68">
        <v>6962921920</v>
      </c>
      <c r="L154" s="68">
        <v>2374522570</v>
      </c>
      <c r="M154" s="68">
        <v>1848664420</v>
      </c>
      <c r="N154" s="75">
        <v>0.14134823207544192</v>
      </c>
      <c r="O154" s="75">
        <v>9.3700000000000006E-2</v>
      </c>
      <c r="P154" s="68">
        <v>-250364145</v>
      </c>
      <c r="Q154" s="68">
        <v>-2460861175</v>
      </c>
      <c r="R154" s="68">
        <v>2548158810</v>
      </c>
      <c r="S154" s="65">
        <v>103.968</v>
      </c>
      <c r="T154" s="65">
        <v>7.7149999999999999</v>
      </c>
    </row>
    <row r="155" spans="1:20" x14ac:dyDescent="0.25">
      <c r="A155" s="67">
        <v>45925.645624999997</v>
      </c>
      <c r="B155" s="68">
        <v>-1329467311</v>
      </c>
      <c r="C155" s="68">
        <v>113362050</v>
      </c>
      <c r="D155" s="68">
        <v>2659141851</v>
      </c>
      <c r="E155" s="66">
        <v>0.14002072407242955</v>
      </c>
      <c r="F155" s="68">
        <v>-2797432</v>
      </c>
      <c r="G155" s="68">
        <v>17320176</v>
      </c>
      <c r="H155" s="68">
        <v>1480418012</v>
      </c>
      <c r="I155" s="65">
        <v>-238.10400000000001</v>
      </c>
      <c r="J155" s="65">
        <v>-2.64</v>
      </c>
      <c r="K155" s="68">
        <v>7204196730</v>
      </c>
      <c r="L155" s="68">
        <v>2302950410</v>
      </c>
      <c r="M155" s="68">
        <v>2020492140</v>
      </c>
      <c r="N155" s="75">
        <v>0.14002072407242955</v>
      </c>
      <c r="O155" s="75">
        <v>9.3300000000000008E-2</v>
      </c>
      <c r="P155" s="68">
        <v>-276886740</v>
      </c>
      <c r="Q155" s="68">
        <v>-2453610720</v>
      </c>
      <c r="R155" s="68">
        <v>2532205310</v>
      </c>
      <c r="S155" s="65">
        <v>102.006</v>
      </c>
      <c r="T155" s="65">
        <v>7.76</v>
      </c>
    </row>
    <row r="156" spans="1:20" x14ac:dyDescent="0.25">
      <c r="A156" s="67">
        <v>45925.645810185182</v>
      </c>
      <c r="B156" s="68">
        <v>-1332860987</v>
      </c>
      <c r="C156" s="68">
        <v>114473556</v>
      </c>
      <c r="D156" s="68">
        <v>2665929427</v>
      </c>
      <c r="E156" s="66">
        <v>0.14002072407242955</v>
      </c>
      <c r="F156" s="68">
        <v>1268974</v>
      </c>
      <c r="G156" s="68">
        <v>15477065</v>
      </c>
      <c r="H156" s="68">
        <v>1482115021</v>
      </c>
      <c r="I156" s="65">
        <v>-238.38800000000001</v>
      </c>
      <c r="J156" s="65">
        <v>-2.64</v>
      </c>
      <c r="K156" s="68">
        <v>7204196730</v>
      </c>
      <c r="L156" s="68">
        <v>2299514565</v>
      </c>
      <c r="M156" s="68">
        <v>2020975325</v>
      </c>
      <c r="N156" s="75">
        <v>0.14002072407242955</v>
      </c>
      <c r="O156" s="75">
        <v>9.3300000000000008E-2</v>
      </c>
      <c r="P156" s="68">
        <v>-277745700</v>
      </c>
      <c r="Q156" s="68">
        <v>-2453610720</v>
      </c>
      <c r="R156" s="68">
        <v>2528715780</v>
      </c>
      <c r="S156" s="65">
        <v>102.068</v>
      </c>
      <c r="T156" s="65">
        <v>7.76</v>
      </c>
    </row>
    <row r="157" spans="1:20" x14ac:dyDescent="0.25">
      <c r="A157" s="67">
        <v>45925.646157407406</v>
      </c>
      <c r="B157" s="68">
        <v>-1347109554</v>
      </c>
      <c r="C157" s="68">
        <v>130532761</v>
      </c>
      <c r="D157" s="68">
        <v>2710397561</v>
      </c>
      <c r="E157" s="66">
        <v>0.1404002307137957</v>
      </c>
      <c r="F157" s="68">
        <v>4106191</v>
      </c>
      <c r="G157" s="68">
        <v>-4474652</v>
      </c>
      <c r="H157" s="68">
        <v>1488229737</v>
      </c>
      <c r="I157" s="65">
        <v>-238.721</v>
      </c>
      <c r="J157" s="65">
        <v>-2.64</v>
      </c>
      <c r="K157" s="68">
        <v>7215095325</v>
      </c>
      <c r="L157" s="68">
        <v>2306818530</v>
      </c>
      <c r="M157" s="68">
        <v>2011095545</v>
      </c>
      <c r="N157" s="75">
        <v>0.1404002307137957</v>
      </c>
      <c r="O157" s="75">
        <v>9.3300000000000008E-2</v>
      </c>
      <c r="P157" s="68">
        <v>-288323290</v>
      </c>
      <c r="Q157" s="68">
        <v>-2431758670</v>
      </c>
      <c r="R157" s="68">
        <v>2550408880</v>
      </c>
      <c r="S157" s="65">
        <v>102.96599999999999</v>
      </c>
      <c r="T157" s="65">
        <v>7.78</v>
      </c>
    </row>
    <row r="158" spans="1:20" x14ac:dyDescent="0.25">
      <c r="A158" s="67">
        <v>45925.646504629629</v>
      </c>
      <c r="B158" s="68">
        <v>-1328098447</v>
      </c>
      <c r="C158" s="68">
        <v>260264007</v>
      </c>
      <c r="D158" s="68">
        <v>2490727639</v>
      </c>
      <c r="E158" s="66">
        <v>0.14448758401542575</v>
      </c>
      <c r="F158" s="68">
        <v>31038685</v>
      </c>
      <c r="G158" s="68">
        <v>-21351387</v>
      </c>
      <c r="H158" s="68">
        <v>1360848660</v>
      </c>
      <c r="I158" s="65">
        <v>-248.744</v>
      </c>
      <c r="J158" s="65">
        <v>-2.75</v>
      </c>
      <c r="K158" s="68">
        <v>7106272310</v>
      </c>
      <c r="L158" s="68">
        <v>2245313275</v>
      </c>
      <c r="M158" s="68">
        <v>1863282800</v>
      </c>
      <c r="N158" s="75">
        <v>0.14448758401542575</v>
      </c>
      <c r="O158" s="75">
        <v>9.5899999999999999E-2</v>
      </c>
      <c r="P158" s="68">
        <v>-291218920</v>
      </c>
      <c r="Q158" s="68">
        <v>-2456481375</v>
      </c>
      <c r="R158" s="68">
        <v>2552563580</v>
      </c>
      <c r="S158" s="65">
        <v>107.902</v>
      </c>
      <c r="T158" s="65">
        <v>8.02</v>
      </c>
    </row>
    <row r="159" spans="1:20" x14ac:dyDescent="0.25">
      <c r="A159" s="67">
        <v>45925.646851851852</v>
      </c>
      <c r="B159" s="68">
        <v>-1305607812</v>
      </c>
      <c r="C159" s="68">
        <v>210739425</v>
      </c>
      <c r="D159" s="68">
        <v>2511680940</v>
      </c>
      <c r="E159" s="66">
        <v>0.14697009075404541</v>
      </c>
      <c r="F159" s="68">
        <v>49787413</v>
      </c>
      <c r="G159" s="68">
        <v>-9242602</v>
      </c>
      <c r="H159" s="68">
        <v>1386387744</v>
      </c>
      <c r="I159" s="65">
        <v>-244.43199999999999</v>
      </c>
      <c r="J159" s="65">
        <v>-2.75</v>
      </c>
      <c r="K159" s="68">
        <v>7135280815</v>
      </c>
      <c r="L159" s="68">
        <v>2201586165</v>
      </c>
      <c r="M159" s="68">
        <v>1929786155</v>
      </c>
      <c r="N159" s="75">
        <v>0.14697009075404541</v>
      </c>
      <c r="O159" s="75">
        <v>9.5899999999999999E-2</v>
      </c>
      <c r="P159" s="68">
        <v>-289661220</v>
      </c>
      <c r="Q159" s="68">
        <v>-2443858580</v>
      </c>
      <c r="R159" s="68">
        <v>2510555440</v>
      </c>
      <c r="S159" s="65">
        <v>106.258</v>
      </c>
      <c r="T159" s="65">
        <v>7.99</v>
      </c>
    </row>
    <row r="160" spans="1:20" x14ac:dyDescent="0.25">
      <c r="A160" s="67">
        <v>45925.647199074076</v>
      </c>
      <c r="B160" s="68">
        <v>-1303268276</v>
      </c>
      <c r="C160" s="68">
        <v>204596561</v>
      </c>
      <c r="D160" s="68">
        <v>2516010682</v>
      </c>
      <c r="E160" s="66">
        <v>0.14659058411267914</v>
      </c>
      <c r="F160" s="68">
        <v>43322736</v>
      </c>
      <c r="G160" s="68">
        <v>-8921090</v>
      </c>
      <c r="H160" s="68">
        <v>1389459593</v>
      </c>
      <c r="I160" s="65">
        <v>-244.04599999999999</v>
      </c>
      <c r="J160" s="65">
        <v>-2.7549999999999999</v>
      </c>
      <c r="K160" s="68">
        <v>7150801845</v>
      </c>
      <c r="L160" s="68">
        <v>2184989815</v>
      </c>
      <c r="M160" s="68">
        <v>1958036635</v>
      </c>
      <c r="N160" s="75">
        <v>0.14659058411267914</v>
      </c>
      <c r="O160" s="75">
        <v>9.5899999999999999E-2</v>
      </c>
      <c r="P160" s="68">
        <v>-283161780</v>
      </c>
      <c r="Q160" s="68">
        <v>-2445577425</v>
      </c>
      <c r="R160" s="68">
        <v>2492240290</v>
      </c>
      <c r="S160" s="65">
        <v>105.977</v>
      </c>
      <c r="T160" s="65">
        <v>7.9749999999999996</v>
      </c>
    </row>
    <row r="161" spans="1:20" x14ac:dyDescent="0.25">
      <c r="A161" s="67">
        <v>45925.647546296299</v>
      </c>
      <c r="B161" s="68">
        <v>-1325382046</v>
      </c>
      <c r="C161" s="68">
        <v>183648820</v>
      </c>
      <c r="D161" s="68">
        <v>2514699846</v>
      </c>
      <c r="E161" s="66">
        <v>0.14697009075404541</v>
      </c>
      <c r="F161" s="68">
        <v>44521183</v>
      </c>
      <c r="G161" s="68">
        <v>-15502068</v>
      </c>
      <c r="H161" s="68">
        <v>1392972706</v>
      </c>
      <c r="I161" s="65">
        <v>-242.869</v>
      </c>
      <c r="J161" s="65">
        <v>-2.7650000000000001</v>
      </c>
      <c r="K161" s="68">
        <v>7126953765</v>
      </c>
      <c r="L161" s="68">
        <v>2201424685</v>
      </c>
      <c r="M161" s="68">
        <v>1939130150</v>
      </c>
      <c r="N161" s="75">
        <v>0.14697009075404541</v>
      </c>
      <c r="O161" s="75">
        <v>9.5899999999999999E-2</v>
      </c>
      <c r="P161" s="68">
        <v>-276287195</v>
      </c>
      <c r="Q161" s="68">
        <v>-2434997180</v>
      </c>
      <c r="R161" s="68">
        <v>2505560040</v>
      </c>
      <c r="S161" s="65">
        <v>105.122</v>
      </c>
      <c r="T161" s="65">
        <v>7.97</v>
      </c>
    </row>
    <row r="162" spans="1:20" x14ac:dyDescent="0.25">
      <c r="A162" s="67">
        <v>45925.647893518515</v>
      </c>
      <c r="B162" s="68">
        <v>-1322250989</v>
      </c>
      <c r="C162" s="68">
        <v>195288529</v>
      </c>
      <c r="D162" s="68">
        <v>2489838590</v>
      </c>
      <c r="E162" s="66">
        <v>0.14733267233490116</v>
      </c>
      <c r="F162" s="68">
        <v>47504269</v>
      </c>
      <c r="G162" s="68">
        <v>-16641876</v>
      </c>
      <c r="H162" s="68">
        <v>1371270052</v>
      </c>
      <c r="I162" s="65">
        <v>-244.17599999999999</v>
      </c>
      <c r="J162" s="65">
        <v>-2.75</v>
      </c>
      <c r="K162" s="68">
        <v>7135763040</v>
      </c>
      <c r="L162" s="68">
        <v>2231397140</v>
      </c>
      <c r="M162" s="68">
        <v>1929515290</v>
      </c>
      <c r="N162" s="75">
        <v>0.14733267233490116</v>
      </c>
      <c r="O162" s="75">
        <v>9.5899999999999999E-2</v>
      </c>
      <c r="P162" s="68">
        <v>-286063315</v>
      </c>
      <c r="Q162" s="68">
        <v>-2423770840</v>
      </c>
      <c r="R162" s="68">
        <v>2521835670</v>
      </c>
      <c r="S162" s="65">
        <v>105.673</v>
      </c>
      <c r="T162" s="65">
        <v>7.98</v>
      </c>
    </row>
    <row r="163" spans="1:20" x14ac:dyDescent="0.25">
      <c r="A163" s="67">
        <v>45925.648287037038</v>
      </c>
      <c r="B163" s="68">
        <v>-1321635730</v>
      </c>
      <c r="C163" s="68">
        <v>253047108</v>
      </c>
      <c r="D163" s="68">
        <v>2350877079</v>
      </c>
      <c r="E163" s="66">
        <v>0.14625664613561065</v>
      </c>
      <c r="F163" s="68">
        <v>68822034</v>
      </c>
      <c r="G163" s="68">
        <v>-21204133</v>
      </c>
      <c r="H163" s="68">
        <v>1292430883</v>
      </c>
      <c r="I163" s="65">
        <v>-250.46</v>
      </c>
      <c r="J163" s="65">
        <v>-2.8050000000000002</v>
      </c>
      <c r="K163" s="68">
        <v>6924716185</v>
      </c>
      <c r="L163" s="68">
        <v>2236716975</v>
      </c>
      <c r="M163" s="68">
        <v>1700634520</v>
      </c>
      <c r="N163" s="75">
        <v>0.14625664613561065</v>
      </c>
      <c r="O163" s="75">
        <v>9.5899999999999999E-2</v>
      </c>
      <c r="P163" s="68">
        <v>-274781765</v>
      </c>
      <c r="Q163" s="68">
        <v>-2419798510</v>
      </c>
      <c r="R163" s="68">
        <v>2533332955</v>
      </c>
      <c r="S163" s="65">
        <v>105.584</v>
      </c>
      <c r="T163" s="65">
        <v>7.9</v>
      </c>
    </row>
    <row r="164" spans="1:20" x14ac:dyDescent="0.25">
      <c r="A164" s="67">
        <v>45925.64875</v>
      </c>
      <c r="B164" s="68">
        <v>-1285028428</v>
      </c>
      <c r="C164" s="68">
        <v>247518061</v>
      </c>
      <c r="D164" s="68">
        <v>2356728620</v>
      </c>
      <c r="E164" s="66">
        <v>0.14587985638429182</v>
      </c>
      <c r="F164" s="68">
        <v>38852522</v>
      </c>
      <c r="G164" s="68">
        <v>1924478</v>
      </c>
      <c r="H164" s="68">
        <v>1293311335</v>
      </c>
      <c r="I164" s="65">
        <v>-251.54300000000001</v>
      </c>
      <c r="J164" s="65">
        <v>-2.8050000000000002</v>
      </c>
      <c r="K164" s="68">
        <v>6946790210</v>
      </c>
      <c r="L164" s="68">
        <v>2302030120</v>
      </c>
      <c r="M164" s="68">
        <v>1721636085</v>
      </c>
      <c r="N164" s="75">
        <v>0.14587985638429182</v>
      </c>
      <c r="O164" s="75">
        <v>9.5899999999999999E-2</v>
      </c>
      <c r="P164" s="68">
        <v>-279614390</v>
      </c>
      <c r="Q164" s="68">
        <v>-2404276860</v>
      </c>
      <c r="R164" s="68">
        <v>2558363015</v>
      </c>
      <c r="S164" s="65">
        <v>104.062</v>
      </c>
      <c r="T164" s="65">
        <v>7.76</v>
      </c>
    </row>
    <row r="165" spans="1:20" x14ac:dyDescent="0.25">
      <c r="A165" s="67">
        <v>45925.649097222224</v>
      </c>
      <c r="B165" s="68">
        <v>-1253156060</v>
      </c>
      <c r="C165" s="68">
        <v>237544875</v>
      </c>
      <c r="D165" s="68">
        <v>2353746607</v>
      </c>
      <c r="E165" s="66">
        <v>0.14625664613561065</v>
      </c>
      <c r="F165" s="68">
        <v>32565497</v>
      </c>
      <c r="G165" s="68">
        <v>15170487</v>
      </c>
      <c r="H165" s="68">
        <v>1300563552</v>
      </c>
      <c r="I165" s="65">
        <v>-249.93100000000001</v>
      </c>
      <c r="J165" s="65">
        <v>-2.81</v>
      </c>
      <c r="K165" s="68">
        <v>6936100825</v>
      </c>
      <c r="L165" s="68">
        <v>2288225010</v>
      </c>
      <c r="M165" s="68">
        <v>1727546035</v>
      </c>
      <c r="N165" s="75">
        <v>0.14625664613561065</v>
      </c>
      <c r="O165" s="75">
        <v>9.5899999999999999E-2</v>
      </c>
      <c r="P165" s="68">
        <v>-281655720</v>
      </c>
      <c r="Q165" s="68">
        <v>-2410454190</v>
      </c>
      <c r="R165" s="68">
        <v>2550681490</v>
      </c>
      <c r="S165" s="65">
        <v>104.821</v>
      </c>
      <c r="T165" s="65">
        <v>7.77</v>
      </c>
    </row>
    <row r="166" spans="1:20" x14ac:dyDescent="0.25">
      <c r="A166" s="67">
        <v>45925.649456018517</v>
      </c>
      <c r="B166" s="68">
        <v>-1206681239</v>
      </c>
      <c r="C166" s="68">
        <v>202095205</v>
      </c>
      <c r="D166" s="68">
        <v>2369338758</v>
      </c>
      <c r="E166" s="66">
        <v>0.1458940645547549</v>
      </c>
      <c r="F166" s="68">
        <v>39146253</v>
      </c>
      <c r="G166" s="68">
        <v>38101024</v>
      </c>
      <c r="H166" s="68">
        <v>1322764502</v>
      </c>
      <c r="I166" s="65">
        <v>-246.38399999999999</v>
      </c>
      <c r="J166" s="65">
        <v>-2.77</v>
      </c>
      <c r="K166" s="68">
        <v>6950493465</v>
      </c>
      <c r="L166" s="68">
        <v>2297086270</v>
      </c>
      <c r="M166" s="68">
        <v>1740005855</v>
      </c>
      <c r="N166" s="75">
        <v>0.1458940645547549</v>
      </c>
      <c r="O166" s="75">
        <v>9.5899999999999999E-2</v>
      </c>
      <c r="P166" s="68">
        <v>-321290200</v>
      </c>
      <c r="Q166" s="68">
        <v>-2414428870</v>
      </c>
      <c r="R166" s="68">
        <v>2557877840</v>
      </c>
      <c r="S166" s="65">
        <v>104.05</v>
      </c>
      <c r="T166" s="65">
        <v>7.75</v>
      </c>
    </row>
    <row r="167" spans="1:20" x14ac:dyDescent="0.25">
      <c r="A167" s="67">
        <v>45925.64980324074</v>
      </c>
      <c r="B167" s="68">
        <v>-1233355589</v>
      </c>
      <c r="C167" s="68">
        <v>214466606</v>
      </c>
      <c r="D167" s="68">
        <v>2356586590</v>
      </c>
      <c r="E167" s="66">
        <v>0.1458940645547549</v>
      </c>
      <c r="F167" s="68">
        <v>40784057</v>
      </c>
      <c r="G167" s="68">
        <v>20405897</v>
      </c>
      <c r="H167" s="68">
        <v>1321185106</v>
      </c>
      <c r="I167" s="65">
        <v>-246.70599999999999</v>
      </c>
      <c r="J167" s="65">
        <v>-2.77</v>
      </c>
      <c r="K167" s="68">
        <v>7052319755</v>
      </c>
      <c r="L167" s="68">
        <v>2224045155</v>
      </c>
      <c r="M167" s="68">
        <v>1767938680</v>
      </c>
      <c r="N167" s="75">
        <v>0.1458940645547549</v>
      </c>
      <c r="O167" s="75">
        <v>9.4899999999999998E-2</v>
      </c>
      <c r="P167" s="68">
        <v>-341700295</v>
      </c>
      <c r="Q167" s="68">
        <v>-2391709220</v>
      </c>
      <c r="R167" s="68">
        <v>2521841580</v>
      </c>
      <c r="S167" s="65">
        <v>103.755</v>
      </c>
      <c r="T167" s="65">
        <v>7.58</v>
      </c>
    </row>
    <row r="168" spans="1:20" x14ac:dyDescent="0.25">
      <c r="A168" s="67">
        <v>45925.650150462963</v>
      </c>
      <c r="B168" s="68">
        <v>-1230283444</v>
      </c>
      <c r="C168" s="68">
        <v>136879966</v>
      </c>
      <c r="D168" s="68">
        <v>2544990844</v>
      </c>
      <c r="E168" s="66">
        <v>0.1458940645547549</v>
      </c>
      <c r="F168" s="68">
        <v>16152113</v>
      </c>
      <c r="G168" s="68">
        <v>22775238</v>
      </c>
      <c r="H168" s="68">
        <v>1429077977</v>
      </c>
      <c r="I168" s="65">
        <v>-240.13800000000001</v>
      </c>
      <c r="J168" s="65">
        <v>-2.77</v>
      </c>
      <c r="K168" s="68">
        <v>7036688685</v>
      </c>
      <c r="L168" s="68">
        <v>2221520550</v>
      </c>
      <c r="M168" s="68">
        <v>1768690690</v>
      </c>
      <c r="N168" s="75">
        <v>0.1458940645547549</v>
      </c>
      <c r="O168" s="75">
        <v>9.4899999999999998E-2</v>
      </c>
      <c r="P168" s="68">
        <v>-338960830</v>
      </c>
      <c r="Q168" s="68">
        <v>-2406695710</v>
      </c>
      <c r="R168" s="68">
        <v>2526568500</v>
      </c>
      <c r="S168" s="65">
        <v>103.038</v>
      </c>
      <c r="T168" s="65">
        <v>7.59</v>
      </c>
    </row>
    <row r="169" spans="1:20" x14ac:dyDescent="0.25">
      <c r="A169" s="67">
        <v>45925.650497685187</v>
      </c>
      <c r="B169" s="68">
        <v>-1229582962</v>
      </c>
      <c r="C169" s="68">
        <v>113476122</v>
      </c>
      <c r="D169" s="68">
        <v>2545579030</v>
      </c>
      <c r="E169" s="66">
        <v>0.1458940645547549</v>
      </c>
      <c r="F169" s="68">
        <v>11997659</v>
      </c>
      <c r="G169" s="68">
        <v>24910238</v>
      </c>
      <c r="H169" s="68">
        <v>1426182825</v>
      </c>
      <c r="I169" s="65">
        <v>-240.36500000000001</v>
      </c>
      <c r="J169" s="65">
        <v>-2.7749999999999999</v>
      </c>
      <c r="K169" s="68">
        <v>7056086315</v>
      </c>
      <c r="L169" s="68">
        <v>2123738725</v>
      </c>
      <c r="M169" s="68">
        <v>1887097715</v>
      </c>
      <c r="N169" s="75">
        <v>0.1458940645547549</v>
      </c>
      <c r="O169" s="75">
        <v>9.4899999999999998E-2</v>
      </c>
      <c r="P169" s="68">
        <v>-364427400</v>
      </c>
      <c r="Q169" s="68">
        <v>-2398312375</v>
      </c>
      <c r="R169" s="68">
        <v>2473110685</v>
      </c>
      <c r="S169" s="65">
        <v>105.92</v>
      </c>
      <c r="T169" s="65">
        <v>7.7149999999999999</v>
      </c>
    </row>
    <row r="170" spans="1:20" x14ac:dyDescent="0.25">
      <c r="A170" s="67">
        <v>45925.65084490741</v>
      </c>
      <c r="B170" s="68">
        <v>-1220806978</v>
      </c>
      <c r="C170" s="68">
        <v>93024926</v>
      </c>
      <c r="D170" s="68">
        <v>2590227188</v>
      </c>
      <c r="E170" s="66">
        <v>0.14625664613561065</v>
      </c>
      <c r="F170" s="68">
        <v>13167805</v>
      </c>
      <c r="G170" s="68">
        <v>29737264</v>
      </c>
      <c r="H170" s="68">
        <v>1446576057</v>
      </c>
      <c r="I170" s="65">
        <v>-239.864</v>
      </c>
      <c r="J170" s="65">
        <v>-2.78</v>
      </c>
      <c r="K170" s="68">
        <v>7069143775</v>
      </c>
      <c r="L170" s="68">
        <v>2076725435</v>
      </c>
      <c r="M170" s="68">
        <v>1915575995</v>
      </c>
      <c r="N170" s="75">
        <v>0.14625664613561065</v>
      </c>
      <c r="O170" s="75">
        <v>9.4899999999999998E-2</v>
      </c>
      <c r="P170" s="68">
        <v>-355025355</v>
      </c>
      <c r="Q170" s="68">
        <v>-2410612435</v>
      </c>
      <c r="R170" s="68">
        <v>2389457115</v>
      </c>
      <c r="S170" s="65">
        <v>105.27</v>
      </c>
      <c r="T170" s="65">
        <v>7.5350000000000001</v>
      </c>
    </row>
    <row r="171" spans="1:20" x14ac:dyDescent="0.25">
      <c r="A171" s="67">
        <v>45925.651192129626</v>
      </c>
      <c r="B171" s="68">
        <v>-1238714342</v>
      </c>
      <c r="C171" s="68">
        <v>60193238</v>
      </c>
      <c r="D171" s="68">
        <v>2620426488</v>
      </c>
      <c r="E171" s="66">
        <v>0.14661353407279831</v>
      </c>
      <c r="F171" s="68">
        <v>15655308</v>
      </c>
      <c r="G171" s="68">
        <v>15516406</v>
      </c>
      <c r="H171" s="68">
        <v>1448713201</v>
      </c>
      <c r="I171" s="65">
        <v>-234.697</v>
      </c>
      <c r="J171" s="65">
        <v>-2.7850000000000001</v>
      </c>
      <c r="K171" s="68">
        <v>7072688975</v>
      </c>
      <c r="L171" s="68">
        <v>2075436095</v>
      </c>
      <c r="M171" s="68">
        <v>1915898210</v>
      </c>
      <c r="N171" s="75">
        <v>0.14661353407279831</v>
      </c>
      <c r="O171" s="75">
        <v>9.4899999999999998E-2</v>
      </c>
      <c r="P171" s="68">
        <v>-354165430</v>
      </c>
      <c r="Q171" s="68">
        <v>-2418616095</v>
      </c>
      <c r="R171" s="68">
        <v>2396010160</v>
      </c>
      <c r="S171" s="65">
        <v>104.68300000000001</v>
      </c>
      <c r="T171" s="65">
        <v>7.51</v>
      </c>
    </row>
    <row r="172" spans="1:20" x14ac:dyDescent="0.25">
      <c r="A172" s="67">
        <v>45925.651539351849</v>
      </c>
      <c r="B172" s="68">
        <v>-1233154716</v>
      </c>
      <c r="C172" s="68">
        <v>64348312</v>
      </c>
      <c r="D172" s="68">
        <v>2618495342</v>
      </c>
      <c r="E172" s="66">
        <v>0.14661353407279831</v>
      </c>
      <c r="F172" s="68">
        <v>20366397</v>
      </c>
      <c r="G172" s="68">
        <v>17330599</v>
      </c>
      <c r="H172" s="68">
        <v>1446577198</v>
      </c>
      <c r="I172" s="65">
        <v>-235.18600000000001</v>
      </c>
      <c r="J172" s="65">
        <v>-2.7850000000000001</v>
      </c>
      <c r="K172" s="68">
        <v>7073387270</v>
      </c>
      <c r="L172" s="68">
        <v>2070333645</v>
      </c>
      <c r="M172" s="68">
        <v>1915575960</v>
      </c>
      <c r="N172" s="75">
        <v>0.14661353407279831</v>
      </c>
      <c r="O172" s="75">
        <v>9.4899999999999998E-2</v>
      </c>
      <c r="P172" s="68">
        <v>-352715260</v>
      </c>
      <c r="Q172" s="68">
        <v>-2418616095</v>
      </c>
      <c r="R172" s="68">
        <v>2395634190</v>
      </c>
      <c r="S172" s="65">
        <v>104.497</v>
      </c>
      <c r="T172" s="65">
        <v>7.51</v>
      </c>
    </row>
    <row r="173" spans="1:20" x14ac:dyDescent="0.25">
      <c r="A173" s="67">
        <v>45925.651886574073</v>
      </c>
      <c r="B173" s="68">
        <v>-1242783119</v>
      </c>
      <c r="C173" s="68">
        <v>71926707</v>
      </c>
      <c r="D173" s="68">
        <v>2663150324</v>
      </c>
      <c r="E173" s="66">
        <v>0.14474145205680869</v>
      </c>
      <c r="F173" s="68">
        <v>20629312</v>
      </c>
      <c r="G173" s="68">
        <v>15720906</v>
      </c>
      <c r="H173" s="68">
        <v>1455414681</v>
      </c>
      <c r="I173" s="65">
        <v>-233.58099999999999</v>
      </c>
      <c r="J173" s="65">
        <v>-2.8</v>
      </c>
      <c r="K173" s="68">
        <v>7080802000</v>
      </c>
      <c r="L173" s="68">
        <v>2063946705</v>
      </c>
      <c r="M173" s="68">
        <v>1929168030</v>
      </c>
      <c r="N173" s="75">
        <v>0.14474145205680869</v>
      </c>
      <c r="O173" s="75">
        <v>9.4899999999999998E-2</v>
      </c>
      <c r="P173" s="68">
        <v>-360289085</v>
      </c>
      <c r="Q173" s="68">
        <v>-2410932735</v>
      </c>
      <c r="R173" s="68">
        <v>2452420665</v>
      </c>
      <c r="S173" s="65">
        <v>104.931</v>
      </c>
      <c r="T173" s="65">
        <v>7.665</v>
      </c>
    </row>
    <row r="174" spans="1:20" x14ac:dyDescent="0.25">
      <c r="A174" s="67">
        <v>45925.652233796296</v>
      </c>
      <c r="B174" s="68">
        <v>-1272689735</v>
      </c>
      <c r="C174" s="68">
        <v>62682114</v>
      </c>
      <c r="D174" s="68">
        <v>2682023955</v>
      </c>
      <c r="E174" s="66">
        <v>0.14474145205680869</v>
      </c>
      <c r="F174" s="68">
        <v>20365510</v>
      </c>
      <c r="G174" s="68">
        <v>-168817</v>
      </c>
      <c r="H174" s="68">
        <v>1456702136</v>
      </c>
      <c r="I174" s="65">
        <v>-234.98</v>
      </c>
      <c r="J174" s="65">
        <v>-2.82</v>
      </c>
      <c r="K174" s="68">
        <v>7149244300</v>
      </c>
      <c r="L174" s="68">
        <v>1958920375</v>
      </c>
      <c r="M174" s="68">
        <v>1980258825</v>
      </c>
      <c r="N174" s="75">
        <v>0.14474145205680869</v>
      </c>
      <c r="O174" s="75">
        <v>9.4899999999999998E-2</v>
      </c>
      <c r="P174" s="68">
        <v>-354647445</v>
      </c>
      <c r="Q174" s="68">
        <v>-2352374935</v>
      </c>
      <c r="R174" s="68">
        <v>2454621880</v>
      </c>
      <c r="S174" s="65">
        <v>104.185</v>
      </c>
      <c r="T174" s="65">
        <v>7.6950000000000003</v>
      </c>
    </row>
    <row r="175" spans="1:20" x14ac:dyDescent="0.25">
      <c r="A175" s="67">
        <v>45925.652592592596</v>
      </c>
      <c r="B175" s="68">
        <v>-1295228563</v>
      </c>
      <c r="C175" s="68">
        <v>637229</v>
      </c>
      <c r="D175" s="68">
        <v>2695168532</v>
      </c>
      <c r="E175" s="66">
        <v>0.14438456411962103</v>
      </c>
      <c r="F175" s="68">
        <v>40763980</v>
      </c>
      <c r="G175" s="68">
        <v>-9506175</v>
      </c>
      <c r="H175" s="68">
        <v>1467533812</v>
      </c>
      <c r="I175" s="65">
        <v>-229.21899999999999</v>
      </c>
      <c r="J175" s="65">
        <v>-2.8149999999999999</v>
      </c>
      <c r="K175" s="68">
        <v>7233432565</v>
      </c>
      <c r="L175" s="68">
        <v>1978361115</v>
      </c>
      <c r="M175" s="68">
        <v>2102637755</v>
      </c>
      <c r="N175" s="75">
        <v>0.14438456411962103</v>
      </c>
      <c r="O175" s="75">
        <v>9.4899999999999998E-2</v>
      </c>
      <c r="P175" s="68">
        <v>-347933530</v>
      </c>
      <c r="Q175" s="68">
        <v>-2421662330</v>
      </c>
      <c r="R175" s="68">
        <v>2458755830</v>
      </c>
      <c r="S175" s="65">
        <v>103.208</v>
      </c>
      <c r="T175" s="65">
        <v>7.6150000000000002</v>
      </c>
    </row>
    <row r="176" spans="1:20" x14ac:dyDescent="0.25">
      <c r="A176" s="67">
        <v>45925.652939814812</v>
      </c>
      <c r="B176" s="68">
        <v>-1349496225</v>
      </c>
      <c r="C176" s="68">
        <v>-13033219</v>
      </c>
      <c r="D176" s="68">
        <v>2792406414</v>
      </c>
      <c r="E176" s="66">
        <v>0.14323860348321471</v>
      </c>
      <c r="F176" s="68">
        <v>28938336</v>
      </c>
      <c r="G176" s="68">
        <v>-30522193</v>
      </c>
      <c r="H176" s="68">
        <v>1501868074</v>
      </c>
      <c r="I176" s="65">
        <v>-226.49</v>
      </c>
      <c r="J176" s="65">
        <v>-2.8</v>
      </c>
      <c r="K176" s="68">
        <v>7323927420</v>
      </c>
      <c r="L176" s="68">
        <v>1946830880</v>
      </c>
      <c r="M176" s="68">
        <v>2221380435</v>
      </c>
      <c r="N176" s="75">
        <v>0.14323860348321471</v>
      </c>
      <c r="O176" s="75">
        <v>9.4899999999999998E-2</v>
      </c>
      <c r="P176" s="68">
        <v>-352015610</v>
      </c>
      <c r="Q176" s="68">
        <v>-2404257560</v>
      </c>
      <c r="R176" s="68">
        <v>2443768785</v>
      </c>
      <c r="S176" s="65">
        <v>101.70399999999999</v>
      </c>
      <c r="T176" s="65">
        <v>7.63</v>
      </c>
    </row>
    <row r="177" spans="1:20" x14ac:dyDescent="0.25">
      <c r="A177" s="67">
        <v>45925.65351851852</v>
      </c>
      <c r="B177" s="68">
        <v>-1375877420</v>
      </c>
      <c r="C177" s="68">
        <v>-11483814</v>
      </c>
      <c r="D177" s="68">
        <v>3014498678</v>
      </c>
      <c r="E177" s="66">
        <v>0.14114782679546115</v>
      </c>
      <c r="F177" s="68">
        <v>6952371</v>
      </c>
      <c r="G177" s="68">
        <v>-66620032</v>
      </c>
      <c r="H177" s="68">
        <v>1577168252</v>
      </c>
      <c r="I177" s="65">
        <v>-222.523</v>
      </c>
      <c r="J177" s="65">
        <v>-2.8149999999999999</v>
      </c>
      <c r="K177" s="68">
        <v>7370695010</v>
      </c>
      <c r="L177" s="68">
        <v>1924550045</v>
      </c>
      <c r="M177" s="68">
        <v>2265840095</v>
      </c>
      <c r="N177" s="75">
        <v>0.14114782679546115</v>
      </c>
      <c r="O177" s="75">
        <v>9.1000000000000011E-2</v>
      </c>
      <c r="P177" s="68">
        <v>-347398615</v>
      </c>
      <c r="Q177" s="68">
        <v>-2348039665</v>
      </c>
      <c r="R177" s="68">
        <v>2407958600</v>
      </c>
      <c r="S177" s="65">
        <v>99.585999999999999</v>
      </c>
      <c r="T177" s="65">
        <v>7.61</v>
      </c>
    </row>
    <row r="178" spans="1:20" x14ac:dyDescent="0.25">
      <c r="A178" s="67">
        <v>45925.653865740744</v>
      </c>
      <c r="B178" s="68">
        <v>-1426386348</v>
      </c>
      <c r="C178" s="68">
        <v>-2439415</v>
      </c>
      <c r="D178" s="68">
        <v>3095670483</v>
      </c>
      <c r="E178" s="66">
        <v>0.14150471473264878</v>
      </c>
      <c r="F178" s="68">
        <v>6600882</v>
      </c>
      <c r="G178" s="68">
        <v>-91596366</v>
      </c>
      <c r="H178" s="68">
        <v>1610609966</v>
      </c>
      <c r="I178" s="65">
        <v>-219.09899999999999</v>
      </c>
      <c r="J178" s="65">
        <v>-2.8450000000000002</v>
      </c>
      <c r="K178" s="68">
        <v>7351796395</v>
      </c>
      <c r="L178" s="68">
        <v>1916494940</v>
      </c>
      <c r="M178" s="68">
        <v>2267665850</v>
      </c>
      <c r="N178" s="75">
        <v>0.14150471473264878</v>
      </c>
      <c r="O178" s="75">
        <v>9.1000000000000011E-2</v>
      </c>
      <c r="P178" s="68">
        <v>-345143685</v>
      </c>
      <c r="Q178" s="68">
        <v>-2345086920</v>
      </c>
      <c r="R178" s="68">
        <v>2412360995</v>
      </c>
      <c r="S178" s="65">
        <v>100.15300000000001</v>
      </c>
      <c r="T178" s="65">
        <v>7.64</v>
      </c>
    </row>
    <row r="179" spans="1:20" x14ac:dyDescent="0.25">
      <c r="A179" s="67">
        <v>45925.65421296296</v>
      </c>
      <c r="B179" s="68">
        <v>-1415024440</v>
      </c>
      <c r="C179" s="68">
        <v>17618563</v>
      </c>
      <c r="D179" s="68">
        <v>3072892386</v>
      </c>
      <c r="E179" s="66">
        <v>0.14342184555212367</v>
      </c>
      <c r="F179" s="68">
        <v>6629807</v>
      </c>
      <c r="G179" s="68">
        <v>-99416080</v>
      </c>
      <c r="H179" s="68">
        <v>1587710712</v>
      </c>
      <c r="I179" s="65">
        <v>-218.15600000000001</v>
      </c>
      <c r="J179" s="65">
        <v>-2.875</v>
      </c>
      <c r="K179" s="68">
        <v>7370696130</v>
      </c>
      <c r="L179" s="68">
        <v>1904682740</v>
      </c>
      <c r="M179" s="68">
        <v>2291827480</v>
      </c>
      <c r="N179" s="75">
        <v>0.14342184555212367</v>
      </c>
      <c r="O179" s="75">
        <v>9.1000000000000011E-2</v>
      </c>
      <c r="P179" s="68">
        <v>-344230860</v>
      </c>
      <c r="Q179" s="68">
        <v>-2340308970</v>
      </c>
      <c r="R179" s="68">
        <v>2399045560</v>
      </c>
      <c r="S179" s="65">
        <v>99.244</v>
      </c>
      <c r="T179" s="65">
        <v>7.63</v>
      </c>
    </row>
    <row r="180" spans="1:20" x14ac:dyDescent="0.25">
      <c r="A180" s="67">
        <v>45925.654560185183</v>
      </c>
      <c r="B180" s="68">
        <v>-1444632374</v>
      </c>
      <c r="C180" s="68">
        <v>32726149</v>
      </c>
      <c r="D180" s="68">
        <v>2967919706</v>
      </c>
      <c r="E180" s="66">
        <v>0.14229315736874584</v>
      </c>
      <c r="F180" s="68">
        <v>68771564</v>
      </c>
      <c r="G180" s="68">
        <v>-115288725</v>
      </c>
      <c r="H180" s="68">
        <v>1541829428</v>
      </c>
      <c r="I180" s="65">
        <v>-217.28399999999999</v>
      </c>
      <c r="J180" s="65">
        <v>-2.8450000000000002</v>
      </c>
      <c r="K180" s="68">
        <v>7421877685</v>
      </c>
      <c r="L180" s="68">
        <v>1897751515</v>
      </c>
      <c r="M180" s="68">
        <v>2322385040</v>
      </c>
      <c r="N180" s="75">
        <v>0.14229315736874584</v>
      </c>
      <c r="O180" s="75">
        <v>9.1000000000000011E-2</v>
      </c>
      <c r="P180" s="68">
        <v>-357064610</v>
      </c>
      <c r="Q180" s="68">
        <v>-2276562610</v>
      </c>
      <c r="R180" s="68">
        <v>2422187635</v>
      </c>
      <c r="S180" s="65">
        <v>99.924000000000007</v>
      </c>
      <c r="T180" s="65">
        <v>7.74</v>
      </c>
    </row>
    <row r="181" spans="1:20" x14ac:dyDescent="0.25">
      <c r="A181" s="67">
        <v>45925.654907407406</v>
      </c>
      <c r="B181" s="68">
        <v>-1473829210</v>
      </c>
      <c r="C181" s="68">
        <v>58700099</v>
      </c>
      <c r="D181" s="68">
        <v>2945902414</v>
      </c>
      <c r="E181" s="66">
        <v>0.13973780665825436</v>
      </c>
      <c r="F181" s="68">
        <v>86048822</v>
      </c>
      <c r="G181" s="68">
        <v>-132947292</v>
      </c>
      <c r="H181" s="68">
        <v>1519311552</v>
      </c>
      <c r="I181" s="65">
        <v>-218.935</v>
      </c>
      <c r="J181" s="65">
        <v>-2.87</v>
      </c>
      <c r="K181" s="68">
        <v>7427839485</v>
      </c>
      <c r="L181" s="68">
        <v>1943770805</v>
      </c>
      <c r="M181" s="68">
        <v>2353694950</v>
      </c>
      <c r="N181" s="75">
        <v>0.13973780665825436</v>
      </c>
      <c r="O181" s="75">
        <v>9.1000000000000011E-2</v>
      </c>
      <c r="P181" s="68">
        <v>-340578645</v>
      </c>
      <c r="Q181" s="68">
        <v>-2325319615</v>
      </c>
      <c r="R181" s="68">
        <v>2439961490</v>
      </c>
      <c r="S181" s="65">
        <v>98.858999999999995</v>
      </c>
      <c r="T181" s="65">
        <v>7.69</v>
      </c>
    </row>
    <row r="182" spans="1:20" x14ac:dyDescent="0.25">
      <c r="A182" s="67">
        <v>45925.65525462963</v>
      </c>
      <c r="B182" s="68">
        <v>-1450314664</v>
      </c>
      <c r="C182" s="68">
        <v>-18773642</v>
      </c>
      <c r="D182" s="68">
        <v>2949982493</v>
      </c>
      <c r="E182" s="66">
        <v>0.1356139697361218</v>
      </c>
      <c r="F182" s="68">
        <v>92169753</v>
      </c>
      <c r="G182" s="68">
        <v>-140884487</v>
      </c>
      <c r="H182" s="68">
        <v>1512490488</v>
      </c>
      <c r="I182" s="65">
        <v>-214.072</v>
      </c>
      <c r="J182" s="65">
        <v>-2.68</v>
      </c>
      <c r="K182" s="68">
        <v>7426282690</v>
      </c>
      <c r="L182" s="68">
        <v>1942482255</v>
      </c>
      <c r="M182" s="68">
        <v>2352460295</v>
      </c>
      <c r="N182" s="75">
        <v>0.1356139697361218</v>
      </c>
      <c r="O182" s="75">
        <v>9.1000000000000011E-2</v>
      </c>
      <c r="P182" s="68">
        <v>-345034900</v>
      </c>
      <c r="Q182" s="68">
        <v>-2330742340</v>
      </c>
      <c r="R182" s="68">
        <v>2437062230</v>
      </c>
      <c r="S182" s="65">
        <v>98.528000000000006</v>
      </c>
      <c r="T182" s="65">
        <v>7.67</v>
      </c>
    </row>
    <row r="183" spans="1:20" x14ac:dyDescent="0.25">
      <c r="A183" s="67">
        <v>45925.655601851853</v>
      </c>
      <c r="B183" s="68">
        <v>-1405852222</v>
      </c>
      <c r="C183" s="68">
        <v>2752641</v>
      </c>
      <c r="D183" s="68">
        <v>2909973706</v>
      </c>
      <c r="E183" s="66">
        <v>0.13449340906624593</v>
      </c>
      <c r="F183" s="68">
        <v>110797402</v>
      </c>
      <c r="G183" s="68">
        <v>-113469897</v>
      </c>
      <c r="H183" s="68">
        <v>1501771063</v>
      </c>
      <c r="I183" s="65">
        <v>-214.61199999999999</v>
      </c>
      <c r="J183" s="65">
        <v>-2.6850000000000001</v>
      </c>
      <c r="K183" s="68">
        <v>7484214200</v>
      </c>
      <c r="L183" s="68">
        <v>1927771350</v>
      </c>
      <c r="M183" s="68">
        <v>2436109365</v>
      </c>
      <c r="N183" s="75">
        <v>0.13449340906624593</v>
      </c>
      <c r="O183" s="75">
        <v>9.1000000000000011E-2</v>
      </c>
      <c r="P183" s="68">
        <v>-344337000</v>
      </c>
      <c r="Q183" s="68">
        <v>-2313561540</v>
      </c>
      <c r="R183" s="68">
        <v>2415640060</v>
      </c>
      <c r="S183" s="65">
        <v>97.808999999999997</v>
      </c>
      <c r="T183" s="65">
        <v>7.79</v>
      </c>
    </row>
    <row r="184" spans="1:20" x14ac:dyDescent="0.25">
      <c r="A184" s="67">
        <v>45925.655949074076</v>
      </c>
      <c r="B184" s="68">
        <v>-1327324894</v>
      </c>
      <c r="C184" s="68">
        <v>89685175</v>
      </c>
      <c r="D184" s="68">
        <v>2664253134</v>
      </c>
      <c r="E184" s="66">
        <v>0.13487726598034638</v>
      </c>
      <c r="F184" s="68">
        <v>137179936</v>
      </c>
      <c r="G184" s="68">
        <v>-75698826</v>
      </c>
      <c r="H184" s="68">
        <v>1390477807</v>
      </c>
      <c r="I184" s="65">
        <v>-220.79499999999999</v>
      </c>
      <c r="J184" s="65">
        <v>-2.7</v>
      </c>
      <c r="K184" s="68">
        <v>7531954645</v>
      </c>
      <c r="L184" s="68">
        <v>1884275560</v>
      </c>
      <c r="M184" s="68">
        <v>2481110595</v>
      </c>
      <c r="N184" s="75">
        <v>0.13487726598034638</v>
      </c>
      <c r="O184" s="75">
        <v>9.1500000000000012E-2</v>
      </c>
      <c r="P184" s="68">
        <v>-349223705</v>
      </c>
      <c r="Q184" s="68">
        <v>-2265928655</v>
      </c>
      <c r="R184" s="68">
        <v>2403828510</v>
      </c>
      <c r="S184" s="65">
        <v>98.5</v>
      </c>
      <c r="T184" s="65">
        <v>7.8849999999999998</v>
      </c>
    </row>
    <row r="185" spans="1:20" x14ac:dyDescent="0.25">
      <c r="A185" s="67">
        <v>45925.6562962963</v>
      </c>
      <c r="B185" s="68">
        <v>-1291776338</v>
      </c>
      <c r="C185" s="68">
        <v>54721488</v>
      </c>
      <c r="D185" s="68">
        <v>2623257727</v>
      </c>
      <c r="E185" s="66">
        <v>0.13341079006034859</v>
      </c>
      <c r="F185" s="68">
        <v>135686335</v>
      </c>
      <c r="G185" s="68">
        <v>-53092925</v>
      </c>
      <c r="H185" s="68">
        <v>1388076857</v>
      </c>
      <c r="I185" s="65">
        <v>-219.482</v>
      </c>
      <c r="J185" s="65">
        <v>-2.72</v>
      </c>
      <c r="K185" s="68">
        <v>7508867695</v>
      </c>
      <c r="L185" s="68">
        <v>1931259400</v>
      </c>
      <c r="M185" s="68">
        <v>2499529085</v>
      </c>
      <c r="N185" s="75">
        <v>0.13341079006034859</v>
      </c>
      <c r="O185" s="75">
        <v>9.1500000000000012E-2</v>
      </c>
      <c r="P185" s="68">
        <v>-358620510</v>
      </c>
      <c r="Q185" s="68">
        <v>-2297339120</v>
      </c>
      <c r="R185" s="68">
        <v>2413279265</v>
      </c>
      <c r="S185" s="65">
        <v>97.728999999999999</v>
      </c>
      <c r="T185" s="65">
        <v>7.6749999999999998</v>
      </c>
    </row>
    <row r="186" spans="1:20" x14ac:dyDescent="0.25">
      <c r="A186" s="67">
        <v>45925.656643518516</v>
      </c>
      <c r="B186" s="68">
        <v>-1252627323</v>
      </c>
      <c r="C186" s="68">
        <v>98612785</v>
      </c>
      <c r="D186" s="68">
        <v>2578254579</v>
      </c>
      <c r="E186" s="66">
        <v>0.13341079006034859</v>
      </c>
      <c r="F186" s="68">
        <v>130444558</v>
      </c>
      <c r="G186" s="68">
        <v>-41994647</v>
      </c>
      <c r="H186" s="68">
        <v>1382075485</v>
      </c>
      <c r="I186" s="65">
        <v>-220.101</v>
      </c>
      <c r="J186" s="65">
        <v>-2.7050000000000001</v>
      </c>
      <c r="K186" s="68">
        <v>7603440915</v>
      </c>
      <c r="L186" s="68">
        <v>1888833080</v>
      </c>
      <c r="M186" s="68">
        <v>2570419555</v>
      </c>
      <c r="N186" s="75">
        <v>0.13341079006034859</v>
      </c>
      <c r="O186" s="75">
        <v>9.1000000000000011E-2</v>
      </c>
      <c r="P186" s="68">
        <v>-366462085</v>
      </c>
      <c r="Q186" s="68">
        <v>-2242777735</v>
      </c>
      <c r="R186" s="68">
        <v>2405440190</v>
      </c>
      <c r="S186" s="65">
        <v>99.340999999999994</v>
      </c>
      <c r="T186" s="65">
        <v>7.75</v>
      </c>
    </row>
    <row r="187" spans="1:20" x14ac:dyDescent="0.25">
      <c r="A187" s="67">
        <v>45925.656990740739</v>
      </c>
      <c r="B187" s="68">
        <v>-1171061127</v>
      </c>
      <c r="C187" s="68">
        <v>173624344</v>
      </c>
      <c r="D187" s="68">
        <v>2267765729</v>
      </c>
      <c r="E187" s="66">
        <v>0.13341079006034859</v>
      </c>
      <c r="F187" s="68">
        <v>165390444</v>
      </c>
      <c r="G187" s="68">
        <v>-10826941</v>
      </c>
      <c r="H187" s="68">
        <v>1192335855</v>
      </c>
      <c r="I187" s="65">
        <v>-231.15299999999999</v>
      </c>
      <c r="J187" s="65">
        <v>-2.8</v>
      </c>
      <c r="K187" s="68">
        <v>7601722595</v>
      </c>
      <c r="L187" s="68">
        <v>1880615040</v>
      </c>
      <c r="M187" s="68">
        <v>2569560705</v>
      </c>
      <c r="N187" s="75">
        <v>0.13341079006034859</v>
      </c>
      <c r="O187" s="75">
        <v>9.1000000000000011E-2</v>
      </c>
      <c r="P187" s="68">
        <v>-357009240</v>
      </c>
      <c r="Q187" s="68">
        <v>-2245409055</v>
      </c>
      <c r="R187" s="68">
        <v>2409736630</v>
      </c>
      <c r="S187" s="65">
        <v>99.012</v>
      </c>
      <c r="T187" s="65">
        <v>7.7549999999999999</v>
      </c>
    </row>
    <row r="188" spans="1:20" x14ac:dyDescent="0.25">
      <c r="A188" s="67">
        <v>45925.657337962963</v>
      </c>
      <c r="B188" s="68">
        <v>-1120891641</v>
      </c>
      <c r="C188" s="68">
        <v>131296493</v>
      </c>
      <c r="D188" s="68">
        <v>2273980661</v>
      </c>
      <c r="E188" s="66">
        <v>0.12969778268049373</v>
      </c>
      <c r="F188" s="68">
        <v>166472779</v>
      </c>
      <c r="G188" s="68">
        <v>15985047</v>
      </c>
      <c r="H188" s="68">
        <v>1200385779</v>
      </c>
      <c r="I188" s="65">
        <v>-227.733</v>
      </c>
      <c r="J188" s="65">
        <v>-2.7450000000000001</v>
      </c>
      <c r="K188" s="68">
        <v>7586899115</v>
      </c>
      <c r="L188" s="68">
        <v>1879809075</v>
      </c>
      <c r="M188" s="68">
        <v>2574071800</v>
      </c>
      <c r="N188" s="75">
        <v>0.12969778268049373</v>
      </c>
      <c r="O188" s="75">
        <v>9.1000000000000011E-2</v>
      </c>
      <c r="P188" s="68">
        <v>-356096000</v>
      </c>
      <c r="Q188" s="68">
        <v>-2277632480</v>
      </c>
      <c r="R188" s="68">
        <v>2407534440</v>
      </c>
      <c r="S188" s="65">
        <v>98.911000000000001</v>
      </c>
      <c r="T188" s="65">
        <v>7.76</v>
      </c>
    </row>
    <row r="189" spans="1:20" x14ac:dyDescent="0.25">
      <c r="A189" s="67">
        <v>45925.657685185186</v>
      </c>
      <c r="B189" s="68">
        <v>-1108160116</v>
      </c>
      <c r="C189" s="68">
        <v>142652603</v>
      </c>
      <c r="D189" s="68">
        <v>2267101689</v>
      </c>
      <c r="E189" s="66">
        <v>0.12969778268049373</v>
      </c>
      <c r="F189" s="68">
        <v>167555424</v>
      </c>
      <c r="G189" s="68">
        <v>18092184</v>
      </c>
      <c r="H189" s="68">
        <v>1183789149</v>
      </c>
      <c r="I189" s="65">
        <v>-228.19499999999999</v>
      </c>
      <c r="J189" s="65">
        <v>-2.665</v>
      </c>
      <c r="K189" s="68">
        <v>7336340630</v>
      </c>
      <c r="L189" s="68">
        <v>1902743350</v>
      </c>
      <c r="M189" s="68">
        <v>2324480100</v>
      </c>
      <c r="N189" s="75">
        <v>0.12969778268049373</v>
      </c>
      <c r="O189" s="75">
        <v>9.1000000000000011E-2</v>
      </c>
      <c r="P189" s="68">
        <v>-355558930</v>
      </c>
      <c r="Q189" s="68">
        <v>-2259748385</v>
      </c>
      <c r="R189" s="68">
        <v>2403452665</v>
      </c>
      <c r="S189" s="65">
        <v>99.594999999999999</v>
      </c>
      <c r="T189" s="65">
        <v>7.76</v>
      </c>
    </row>
    <row r="190" spans="1:20" x14ac:dyDescent="0.25">
      <c r="A190" s="67">
        <v>45925.658032407409</v>
      </c>
      <c r="B190" s="68">
        <v>-1122823946</v>
      </c>
      <c r="C190" s="68">
        <v>156349925</v>
      </c>
      <c r="D190" s="68">
        <v>2247991654</v>
      </c>
      <c r="E190" s="66">
        <v>0.12933085082690393</v>
      </c>
      <c r="F190" s="68">
        <v>173818966</v>
      </c>
      <c r="G190" s="68">
        <v>7438137</v>
      </c>
      <c r="H190" s="68">
        <v>1185575101</v>
      </c>
      <c r="I190" s="65">
        <v>-228.84700000000001</v>
      </c>
      <c r="J190" s="65">
        <v>-2.7</v>
      </c>
      <c r="K190" s="68">
        <v>7357715220</v>
      </c>
      <c r="L190" s="68">
        <v>1892807795</v>
      </c>
      <c r="M190" s="68">
        <v>2347627060</v>
      </c>
      <c r="N190" s="75">
        <v>0.12933085082690393</v>
      </c>
      <c r="O190" s="75">
        <v>8.9800000000000005E-2</v>
      </c>
      <c r="P190" s="68">
        <v>-352819965</v>
      </c>
      <c r="Q190" s="68">
        <v>-2251531520</v>
      </c>
      <c r="R190" s="68">
        <v>2404687755</v>
      </c>
      <c r="S190" s="65">
        <v>99.234999999999999</v>
      </c>
      <c r="T190" s="65">
        <v>7.7649999999999997</v>
      </c>
    </row>
    <row r="191" spans="1:20" x14ac:dyDescent="0.25">
      <c r="A191" s="67">
        <v>45925.658379629633</v>
      </c>
      <c r="B191" s="68">
        <v>-1108195603</v>
      </c>
      <c r="C191" s="68">
        <v>186753878</v>
      </c>
      <c r="D191" s="68">
        <v>2344768168</v>
      </c>
      <c r="E191" s="66">
        <v>0.13230068685740876</v>
      </c>
      <c r="F191" s="68">
        <v>117635243</v>
      </c>
      <c r="G191" s="68">
        <v>6148876</v>
      </c>
      <c r="H191" s="68">
        <v>1219228628</v>
      </c>
      <c r="I191" s="65">
        <v>-235.19499999999999</v>
      </c>
      <c r="J191" s="65">
        <v>-2.74</v>
      </c>
      <c r="K191" s="68">
        <v>7365932350</v>
      </c>
      <c r="L191" s="68">
        <v>1883999070</v>
      </c>
      <c r="M191" s="68">
        <v>2357186985</v>
      </c>
      <c r="N191" s="75">
        <v>0.13230068685740876</v>
      </c>
      <c r="O191" s="75">
        <v>8.9800000000000005E-2</v>
      </c>
      <c r="P191" s="68">
        <v>-344548270</v>
      </c>
      <c r="Q191" s="68">
        <v>-2247610865</v>
      </c>
      <c r="R191" s="68">
        <v>2397866435</v>
      </c>
      <c r="S191" s="65">
        <v>98.977000000000004</v>
      </c>
      <c r="T191" s="65">
        <v>7.79</v>
      </c>
    </row>
    <row r="192" spans="1:20" x14ac:dyDescent="0.25">
      <c r="A192" s="67">
        <v>45925.658726851849</v>
      </c>
      <c r="B192" s="68">
        <v>-1112118067</v>
      </c>
      <c r="C192" s="68">
        <v>169545650</v>
      </c>
      <c r="D192" s="68">
        <v>2380120288</v>
      </c>
      <c r="E192" s="66">
        <v>0.13312615734708141</v>
      </c>
      <c r="F192" s="68">
        <v>111957641</v>
      </c>
      <c r="G192" s="68">
        <v>1203007</v>
      </c>
      <c r="H192" s="68">
        <v>1248638937</v>
      </c>
      <c r="I192" s="65">
        <v>-232.03200000000001</v>
      </c>
      <c r="J192" s="65">
        <v>-2.75</v>
      </c>
      <c r="K192" s="68">
        <v>7368080860</v>
      </c>
      <c r="L192" s="68">
        <v>1879058065</v>
      </c>
      <c r="M192" s="68">
        <v>2377112180</v>
      </c>
      <c r="N192" s="75">
        <v>0.13312615734708141</v>
      </c>
      <c r="O192" s="75">
        <v>8.9800000000000005E-2</v>
      </c>
      <c r="P192" s="68">
        <v>-338586530</v>
      </c>
      <c r="Q192" s="68">
        <v>-2254539040</v>
      </c>
      <c r="R192" s="68">
        <v>2390132735</v>
      </c>
      <c r="S192" s="65">
        <v>98.682000000000002</v>
      </c>
      <c r="T192" s="65">
        <v>7.7750000000000004</v>
      </c>
    </row>
    <row r="193" spans="1:20" x14ac:dyDescent="0.25">
      <c r="A193" s="67">
        <v>45925.659074074072</v>
      </c>
      <c r="B193" s="68">
        <v>-1091806405</v>
      </c>
      <c r="C193" s="68">
        <v>166325258</v>
      </c>
      <c r="D193" s="68">
        <v>2395577190</v>
      </c>
      <c r="E193" s="66">
        <v>0.13276926940989375</v>
      </c>
      <c r="F193" s="68">
        <v>109499064</v>
      </c>
      <c r="G193" s="68">
        <v>4978286</v>
      </c>
      <c r="H193" s="68">
        <v>1255665246</v>
      </c>
      <c r="I193" s="65">
        <v>-230.167</v>
      </c>
      <c r="J193" s="65">
        <v>-2.7549999999999999</v>
      </c>
      <c r="K193" s="68">
        <v>7370336245</v>
      </c>
      <c r="L193" s="68">
        <v>1882387780</v>
      </c>
      <c r="M193" s="68">
        <v>2384953400</v>
      </c>
      <c r="N193" s="75">
        <v>0.13276926940989375</v>
      </c>
      <c r="O193" s="75">
        <v>8.9800000000000005E-2</v>
      </c>
      <c r="P193" s="68">
        <v>-343634525</v>
      </c>
      <c r="Q193" s="68">
        <v>-2255720795</v>
      </c>
      <c r="R193" s="68">
        <v>2393140215</v>
      </c>
      <c r="S193" s="65">
        <v>98.546999999999997</v>
      </c>
      <c r="T193" s="65">
        <v>7.7949999999999999</v>
      </c>
    </row>
    <row r="194" spans="1:20" x14ac:dyDescent="0.25">
      <c r="A194" s="67">
        <v>45925.659421296295</v>
      </c>
      <c r="B194" s="68">
        <v>-1055661865</v>
      </c>
      <c r="C194" s="68">
        <v>189181188</v>
      </c>
      <c r="D194" s="68">
        <v>2359199469</v>
      </c>
      <c r="E194" s="66">
        <v>0.13242216770909537</v>
      </c>
      <c r="F194" s="68">
        <v>116990847</v>
      </c>
      <c r="G194" s="68">
        <v>15544018</v>
      </c>
      <c r="H194" s="68">
        <v>1236554737</v>
      </c>
      <c r="I194" s="65">
        <v>-229.84899999999999</v>
      </c>
      <c r="J194" s="65">
        <v>-2.7650000000000001</v>
      </c>
      <c r="K194" s="68">
        <v>7148619890</v>
      </c>
      <c r="L194" s="68">
        <v>1851285680</v>
      </c>
      <c r="M194" s="68">
        <v>2181287080</v>
      </c>
      <c r="N194" s="75">
        <v>0.13242216770909537</v>
      </c>
      <c r="O194" s="75">
        <v>9.0300000000000005E-2</v>
      </c>
      <c r="P194" s="68">
        <v>-341808370</v>
      </c>
      <c r="Q194" s="68">
        <v>-2259964870</v>
      </c>
      <c r="R194" s="68">
        <v>2385082450</v>
      </c>
      <c r="S194" s="65">
        <v>99.772000000000006</v>
      </c>
      <c r="T194" s="65">
        <v>7.81</v>
      </c>
    </row>
    <row r="195" spans="1:20" x14ac:dyDescent="0.25">
      <c r="A195" s="67">
        <v>45925.659768518519</v>
      </c>
      <c r="B195" s="68">
        <v>-1050921365</v>
      </c>
      <c r="C195" s="68">
        <v>179084618</v>
      </c>
      <c r="D195" s="68">
        <v>2367130887</v>
      </c>
      <c r="E195" s="66">
        <v>0.13204763587388932</v>
      </c>
      <c r="F195" s="68">
        <v>110463625</v>
      </c>
      <c r="G195" s="68">
        <v>19963072</v>
      </c>
      <c r="H195" s="68">
        <v>1236964342</v>
      </c>
      <c r="I195" s="65">
        <v>-229.65700000000001</v>
      </c>
      <c r="J195" s="65">
        <v>-2.8149999999999999</v>
      </c>
      <c r="K195" s="68">
        <v>7153507235</v>
      </c>
      <c r="L195" s="68">
        <v>1865355860</v>
      </c>
      <c r="M195" s="68">
        <v>2192297790</v>
      </c>
      <c r="N195" s="75">
        <v>0.13204763587388932</v>
      </c>
      <c r="O195" s="75">
        <v>9.0300000000000005E-2</v>
      </c>
      <c r="P195" s="68">
        <v>-356414385</v>
      </c>
      <c r="Q195" s="68">
        <v>-2256312730</v>
      </c>
      <c r="R195" s="68">
        <v>2392117585</v>
      </c>
      <c r="S195" s="65">
        <v>99.135000000000005</v>
      </c>
      <c r="T195" s="65">
        <v>7.7949999999999999</v>
      </c>
    </row>
    <row r="196" spans="1:20" x14ac:dyDescent="0.25">
      <c r="A196" s="67">
        <v>45925.660115740742</v>
      </c>
      <c r="B196" s="68">
        <v>-1030080474</v>
      </c>
      <c r="C196" s="68">
        <v>117867200</v>
      </c>
      <c r="D196" s="68">
        <v>2460963571</v>
      </c>
      <c r="E196" s="66">
        <v>0.1200518386271268</v>
      </c>
      <c r="F196" s="68">
        <v>89592539</v>
      </c>
      <c r="G196" s="68">
        <v>37145921</v>
      </c>
      <c r="H196" s="68">
        <v>1292033471</v>
      </c>
      <c r="I196" s="65">
        <v>-222.74799999999999</v>
      </c>
      <c r="J196" s="65">
        <v>-2.8</v>
      </c>
      <c r="K196" s="68">
        <v>6930544055</v>
      </c>
      <c r="L196" s="68">
        <v>1869060075</v>
      </c>
      <c r="M196" s="68">
        <v>1970784670</v>
      </c>
      <c r="N196" s="75">
        <v>0.1200518386271268</v>
      </c>
      <c r="O196" s="75">
        <v>8.270000000000001E-2</v>
      </c>
      <c r="P196" s="68">
        <v>-357165775</v>
      </c>
      <c r="Q196" s="68">
        <v>-2254003120</v>
      </c>
      <c r="R196" s="68">
        <v>2410589730</v>
      </c>
      <c r="S196" s="65">
        <v>98.905000000000001</v>
      </c>
      <c r="T196" s="65">
        <v>7.81</v>
      </c>
    </row>
    <row r="197" spans="1:20" x14ac:dyDescent="0.25">
      <c r="A197" s="67">
        <v>45925.660462962966</v>
      </c>
      <c r="B197" s="68">
        <v>-1022409562</v>
      </c>
      <c r="C197" s="68">
        <v>104224294</v>
      </c>
      <c r="D197" s="68">
        <v>2486024518</v>
      </c>
      <c r="E197" s="66">
        <v>0.11929989250717597</v>
      </c>
      <c r="F197" s="68">
        <v>90207094</v>
      </c>
      <c r="G197" s="68">
        <v>40600824</v>
      </c>
      <c r="H197" s="68">
        <v>1309541436</v>
      </c>
      <c r="I197" s="65">
        <v>-222.01400000000001</v>
      </c>
      <c r="J197" s="65">
        <v>-2.7949999999999999</v>
      </c>
      <c r="K197" s="68">
        <v>6951805365</v>
      </c>
      <c r="L197" s="68">
        <v>1870778075</v>
      </c>
      <c r="M197" s="68">
        <v>1980180640</v>
      </c>
      <c r="N197" s="75">
        <v>0.11929989250717597</v>
      </c>
      <c r="O197" s="75">
        <v>8.270000000000001E-2</v>
      </c>
      <c r="P197" s="68">
        <v>-357219465</v>
      </c>
      <c r="Q197" s="68">
        <v>-2241546980</v>
      </c>
      <c r="R197" s="68">
        <v>2414294275</v>
      </c>
      <c r="S197" s="65">
        <v>98.320999999999998</v>
      </c>
      <c r="T197" s="65">
        <v>7.81</v>
      </c>
    </row>
    <row r="198" spans="1:20" x14ac:dyDescent="0.25">
      <c r="A198" s="67">
        <v>45925.660810185182</v>
      </c>
      <c r="B198" s="68">
        <v>-993659364</v>
      </c>
      <c r="C198" s="68">
        <v>84283630</v>
      </c>
      <c r="D198" s="68">
        <v>2531581926</v>
      </c>
      <c r="E198" s="66">
        <v>0.12116030101307391</v>
      </c>
      <c r="F198" s="68">
        <v>85054428</v>
      </c>
      <c r="G198" s="68">
        <v>37760778</v>
      </c>
      <c r="H198" s="68">
        <v>1336449089</v>
      </c>
      <c r="I198" s="65">
        <v>-217.607</v>
      </c>
      <c r="J198" s="65">
        <v>-2.8050000000000002</v>
      </c>
      <c r="K198" s="68">
        <v>6983646010</v>
      </c>
      <c r="L198" s="68">
        <v>1839472655</v>
      </c>
      <c r="M198" s="68">
        <v>1995270045</v>
      </c>
      <c r="N198" s="75">
        <v>0.12116030101307391</v>
      </c>
      <c r="O198" s="75">
        <v>8.270000000000001E-2</v>
      </c>
      <c r="P198" s="68">
        <v>-365703635</v>
      </c>
      <c r="Q198" s="68">
        <v>-2201007415</v>
      </c>
      <c r="R198" s="68">
        <v>2385673635</v>
      </c>
      <c r="S198" s="65">
        <v>98.180999999999997</v>
      </c>
      <c r="T198" s="65">
        <v>7.7850000000000001</v>
      </c>
    </row>
    <row r="199" spans="1:20" x14ac:dyDescent="0.25">
      <c r="A199" s="67">
        <v>45925.661157407405</v>
      </c>
      <c r="B199" s="68">
        <v>-971054287</v>
      </c>
      <c r="C199" s="68">
        <v>84927828</v>
      </c>
      <c r="D199" s="68">
        <v>2551174956</v>
      </c>
      <c r="E199" s="66">
        <v>0.12042662332456745</v>
      </c>
      <c r="F199" s="68">
        <v>91525388</v>
      </c>
      <c r="G199" s="68">
        <v>27130627</v>
      </c>
      <c r="H199" s="68">
        <v>1339175535</v>
      </c>
      <c r="I199" s="65">
        <v>-219.261</v>
      </c>
      <c r="J199" s="65">
        <v>-2.8250000000000002</v>
      </c>
      <c r="K199" s="68">
        <v>6684270580</v>
      </c>
      <c r="L199" s="68">
        <v>1865999870</v>
      </c>
      <c r="M199" s="68">
        <v>1738851665</v>
      </c>
      <c r="N199" s="75">
        <v>0.12042662332456745</v>
      </c>
      <c r="O199" s="75">
        <v>8.1900000000000014E-2</v>
      </c>
      <c r="P199" s="68">
        <v>-388900005</v>
      </c>
      <c r="Q199" s="68">
        <v>-2216687145</v>
      </c>
      <c r="R199" s="68">
        <v>2410589920</v>
      </c>
      <c r="S199" s="65">
        <v>99.231999999999999</v>
      </c>
      <c r="T199" s="65">
        <v>7.85</v>
      </c>
    </row>
    <row r="200" spans="1:20" x14ac:dyDescent="0.25">
      <c r="A200" s="67">
        <v>45925.661504629628</v>
      </c>
      <c r="B200" s="68">
        <v>-970761275</v>
      </c>
      <c r="C200" s="68">
        <v>142196008</v>
      </c>
      <c r="D200" s="68">
        <v>2541806809</v>
      </c>
      <c r="E200" s="66">
        <v>0.12042662332456745</v>
      </c>
      <c r="F200" s="68">
        <v>92345275</v>
      </c>
      <c r="G200" s="68">
        <v>13897096</v>
      </c>
      <c r="H200" s="68">
        <v>1325590753</v>
      </c>
      <c r="I200" s="65">
        <v>-220.833</v>
      </c>
      <c r="J200" s="65">
        <v>-2.83</v>
      </c>
      <c r="K200" s="68">
        <v>6687492605</v>
      </c>
      <c r="L200" s="68">
        <v>1843176470</v>
      </c>
      <c r="M200" s="68">
        <v>1763286260</v>
      </c>
      <c r="N200" s="75">
        <v>0.12042662332456745</v>
      </c>
      <c r="O200" s="75">
        <v>8.0900000000000014E-2</v>
      </c>
      <c r="P200" s="68">
        <v>-375152805</v>
      </c>
      <c r="Q200" s="68">
        <v>-2219640640</v>
      </c>
      <c r="R200" s="68">
        <v>2381591120</v>
      </c>
      <c r="S200" s="65">
        <v>99.159000000000006</v>
      </c>
      <c r="T200" s="65">
        <v>7.87</v>
      </c>
    </row>
    <row r="201" spans="1:20" x14ac:dyDescent="0.25">
      <c r="A201" s="67">
        <v>45925.661851851852</v>
      </c>
      <c r="B201" s="68">
        <v>-959428965</v>
      </c>
      <c r="C201" s="68">
        <v>136308862</v>
      </c>
      <c r="D201" s="68">
        <v>2563039056</v>
      </c>
      <c r="E201" s="66">
        <v>0.12266940550791013</v>
      </c>
      <c r="F201" s="68">
        <v>87337534</v>
      </c>
      <c r="G201" s="68">
        <v>7571481</v>
      </c>
      <c r="H201" s="68">
        <v>1335870227</v>
      </c>
      <c r="I201" s="65">
        <v>-218.62899999999999</v>
      </c>
      <c r="J201" s="65">
        <v>-2.76</v>
      </c>
      <c r="K201" s="68">
        <v>6726479820</v>
      </c>
      <c r="L201" s="68">
        <v>1817561725</v>
      </c>
      <c r="M201" s="68">
        <v>1803131365</v>
      </c>
      <c r="N201" s="75">
        <v>0.12266940550791013</v>
      </c>
      <c r="O201" s="75">
        <v>8.0900000000000014E-2</v>
      </c>
      <c r="P201" s="68">
        <v>-388523695</v>
      </c>
      <c r="Q201" s="68">
        <v>-2174210135</v>
      </c>
      <c r="R201" s="68">
        <v>2373750825</v>
      </c>
      <c r="S201" s="65">
        <v>99.506</v>
      </c>
      <c r="T201" s="65">
        <v>7.96</v>
      </c>
    </row>
    <row r="202" spans="1:20" x14ac:dyDescent="0.25">
      <c r="A202" s="67">
        <v>45925.662199074075</v>
      </c>
      <c r="B202" s="68">
        <v>-969327933</v>
      </c>
      <c r="C202" s="68">
        <v>107254832</v>
      </c>
      <c r="D202" s="68">
        <v>2597129956</v>
      </c>
      <c r="E202" s="66">
        <v>0.12228989886654397</v>
      </c>
      <c r="F202" s="68">
        <v>87425750</v>
      </c>
      <c r="G202" s="68">
        <v>4291382</v>
      </c>
      <c r="H202" s="68">
        <v>1347731991</v>
      </c>
      <c r="I202" s="65">
        <v>-215.81399999999999</v>
      </c>
      <c r="J202" s="65">
        <v>-2.76</v>
      </c>
      <c r="K202" s="68">
        <v>6758113335</v>
      </c>
      <c r="L202" s="68">
        <v>1780451520</v>
      </c>
      <c r="M202" s="68">
        <v>1834763225</v>
      </c>
      <c r="N202" s="75">
        <v>0.12228989886654397</v>
      </c>
      <c r="O202" s="75">
        <v>8.0900000000000014E-2</v>
      </c>
      <c r="P202" s="68">
        <v>-388684940</v>
      </c>
      <c r="Q202" s="68">
        <v>-2131783220</v>
      </c>
      <c r="R202" s="68">
        <v>2359733420</v>
      </c>
      <c r="S202" s="65">
        <v>99.344999999999999</v>
      </c>
      <c r="T202" s="65">
        <v>7.97</v>
      </c>
    </row>
    <row r="203" spans="1:20" x14ac:dyDescent="0.25">
      <c r="A203" s="67">
        <v>45925.662546296298</v>
      </c>
      <c r="B203" s="68">
        <v>-939452497</v>
      </c>
      <c r="C203" s="68">
        <v>125499835</v>
      </c>
      <c r="D203" s="68">
        <v>2538497491</v>
      </c>
      <c r="E203" s="66">
        <v>0.12191718175882867</v>
      </c>
      <c r="F203" s="68">
        <v>100312737</v>
      </c>
      <c r="G203" s="68">
        <v>12550556</v>
      </c>
      <c r="H203" s="68">
        <v>1324801217</v>
      </c>
      <c r="I203" s="65">
        <v>-213.71600000000001</v>
      </c>
      <c r="J203" s="65">
        <v>-2.77</v>
      </c>
      <c r="K203" s="68">
        <v>6760100605</v>
      </c>
      <c r="L203" s="68">
        <v>1782223175</v>
      </c>
      <c r="M203" s="68">
        <v>1828696015</v>
      </c>
      <c r="N203" s="75">
        <v>0.12191718175882867</v>
      </c>
      <c r="O203" s="75">
        <v>8.0900000000000014E-2</v>
      </c>
      <c r="P203" s="68">
        <v>-397061390</v>
      </c>
      <c r="Q203" s="68">
        <v>-2125715720</v>
      </c>
      <c r="R203" s="68">
        <v>2363599675</v>
      </c>
      <c r="S203" s="65">
        <v>98.837000000000003</v>
      </c>
      <c r="T203" s="65">
        <v>7.9550000000000001</v>
      </c>
    </row>
    <row r="204" spans="1:20" x14ac:dyDescent="0.25">
      <c r="A204" s="67">
        <v>45925.662893518522</v>
      </c>
      <c r="B204" s="68">
        <v>-939658238</v>
      </c>
      <c r="C204" s="68">
        <v>151423106</v>
      </c>
      <c r="D204" s="68">
        <v>2528685662</v>
      </c>
      <c r="E204" s="66">
        <v>0.12191718175882867</v>
      </c>
      <c r="F204" s="68">
        <v>106112481</v>
      </c>
      <c r="G204" s="68">
        <v>8332064</v>
      </c>
      <c r="H204" s="68">
        <v>1308779134</v>
      </c>
      <c r="I204" s="65">
        <v>-213.01400000000001</v>
      </c>
      <c r="J204" s="65">
        <v>-2.7749999999999999</v>
      </c>
      <c r="K204" s="68">
        <v>6754892315</v>
      </c>
      <c r="L204" s="68">
        <v>1786196505</v>
      </c>
      <c r="M204" s="68">
        <v>1831166250</v>
      </c>
      <c r="N204" s="75">
        <v>0.12191718175882867</v>
      </c>
      <c r="O204" s="75">
        <v>8.0900000000000014E-2</v>
      </c>
      <c r="P204" s="68">
        <v>-395719020</v>
      </c>
      <c r="Q204" s="68">
        <v>-2118091230</v>
      </c>
      <c r="R204" s="68">
        <v>2365908415</v>
      </c>
      <c r="S204" s="65">
        <v>98.709000000000003</v>
      </c>
      <c r="T204" s="65">
        <v>7.98</v>
      </c>
    </row>
    <row r="205" spans="1:20" x14ac:dyDescent="0.25">
      <c r="A205" s="67">
        <v>45925.663240740738</v>
      </c>
      <c r="B205" s="68">
        <v>-970441032</v>
      </c>
      <c r="C205" s="68">
        <v>174327097</v>
      </c>
      <c r="D205" s="68">
        <v>2459624268</v>
      </c>
      <c r="E205" s="66">
        <v>0.12304365971398552</v>
      </c>
      <c r="F205" s="68">
        <v>119116515</v>
      </c>
      <c r="G205" s="68">
        <v>-15099153</v>
      </c>
      <c r="H205" s="68">
        <v>1309863896</v>
      </c>
      <c r="I205" s="65">
        <v>-215.12100000000001</v>
      </c>
      <c r="J205" s="65">
        <v>-2.7050000000000001</v>
      </c>
      <c r="K205" s="68">
        <v>6780133750</v>
      </c>
      <c r="L205" s="68">
        <v>1784906340</v>
      </c>
      <c r="M205" s="68">
        <v>1863388480</v>
      </c>
      <c r="N205" s="75">
        <v>0.12304365971398552</v>
      </c>
      <c r="O205" s="75">
        <v>8.0900000000000014E-2</v>
      </c>
      <c r="P205" s="68">
        <v>-396793000</v>
      </c>
      <c r="Q205" s="68">
        <v>-2082163385</v>
      </c>
      <c r="R205" s="68">
        <v>2359356535</v>
      </c>
      <c r="S205" s="65">
        <v>99.222999999999999</v>
      </c>
      <c r="T205" s="65">
        <v>7.92</v>
      </c>
    </row>
    <row r="206" spans="1:20" x14ac:dyDescent="0.25">
      <c r="A206" s="67">
        <v>45925.663587962961</v>
      </c>
      <c r="B206" s="68">
        <v>-959260576</v>
      </c>
      <c r="C206" s="68">
        <v>238484421</v>
      </c>
      <c r="D206" s="68">
        <v>2323556355</v>
      </c>
      <c r="E206" s="66">
        <v>0.12415498090702366</v>
      </c>
      <c r="F206" s="68">
        <v>121282887</v>
      </c>
      <c r="G206" s="68">
        <v>-9157521</v>
      </c>
      <c r="H206" s="68">
        <v>1250804175</v>
      </c>
      <c r="I206" s="65">
        <v>-219.99299999999999</v>
      </c>
      <c r="J206" s="65">
        <v>-2.7050000000000001</v>
      </c>
      <c r="K206" s="68">
        <v>6767243715</v>
      </c>
      <c r="L206" s="68">
        <v>1755095145</v>
      </c>
      <c r="M206" s="68">
        <v>1853826800</v>
      </c>
      <c r="N206" s="75">
        <v>0.12415498090702366</v>
      </c>
      <c r="O206" s="75">
        <v>8.0700000000000008E-2</v>
      </c>
      <c r="P206" s="68">
        <v>-398135295</v>
      </c>
      <c r="Q206" s="68">
        <v>-2083023200</v>
      </c>
      <c r="R206" s="68">
        <v>2344155430</v>
      </c>
      <c r="S206" s="65">
        <v>100.238</v>
      </c>
      <c r="T206" s="65">
        <v>7.89</v>
      </c>
    </row>
    <row r="207" spans="1:20" x14ac:dyDescent="0.25">
      <c r="A207" s="67">
        <v>45925.663935185185</v>
      </c>
      <c r="B207" s="68">
        <v>-995003484</v>
      </c>
      <c r="C207" s="68">
        <v>283184650</v>
      </c>
      <c r="D207" s="68">
        <v>2333449433</v>
      </c>
      <c r="E207" s="66">
        <v>0.12825512378856066</v>
      </c>
      <c r="F207" s="68">
        <v>113672084</v>
      </c>
      <c r="G207" s="68">
        <v>-33454808</v>
      </c>
      <c r="H207" s="68">
        <v>1246617634</v>
      </c>
      <c r="I207" s="65">
        <v>-224.23400000000001</v>
      </c>
      <c r="J207" s="65">
        <v>-2.72</v>
      </c>
      <c r="K207" s="68">
        <v>6780135260</v>
      </c>
      <c r="L207" s="68">
        <v>1759821350</v>
      </c>
      <c r="M207" s="68">
        <v>1876763235</v>
      </c>
      <c r="N207" s="75">
        <v>0.12825512378856066</v>
      </c>
      <c r="O207" s="75">
        <v>8.0700000000000008E-2</v>
      </c>
      <c r="P207" s="68">
        <v>-398296670</v>
      </c>
      <c r="Q207" s="68">
        <v>-2078995170</v>
      </c>
      <c r="R207" s="68">
        <v>2345981430</v>
      </c>
      <c r="S207" s="65">
        <v>99.801000000000002</v>
      </c>
      <c r="T207" s="65">
        <v>7.915</v>
      </c>
    </row>
    <row r="208" spans="1:20" x14ac:dyDescent="0.25">
      <c r="A208" s="67">
        <v>45925.664282407408</v>
      </c>
      <c r="B208" s="68">
        <v>-959056445</v>
      </c>
      <c r="C208" s="68">
        <v>291555898</v>
      </c>
      <c r="D208" s="68">
        <v>2369282000</v>
      </c>
      <c r="E208" s="66">
        <v>0.12969951682283218</v>
      </c>
      <c r="F208" s="68">
        <v>98654601</v>
      </c>
      <c r="G208" s="68">
        <v>-23414277</v>
      </c>
      <c r="H208" s="68">
        <v>1277911634</v>
      </c>
      <c r="I208" s="65">
        <v>-222.84899999999999</v>
      </c>
      <c r="J208" s="65">
        <v>-2.71</v>
      </c>
      <c r="K208" s="68">
        <v>6788302385</v>
      </c>
      <c r="L208" s="68">
        <v>1777602260</v>
      </c>
      <c r="M208" s="68">
        <v>1889386655</v>
      </c>
      <c r="N208" s="75">
        <v>0.12969951682283218</v>
      </c>
      <c r="O208" s="75">
        <v>8.1400000000000014E-2</v>
      </c>
      <c r="P208" s="68">
        <v>-398887805</v>
      </c>
      <c r="Q208" s="68">
        <v>-2049502530</v>
      </c>
      <c r="R208" s="68">
        <v>2339427865</v>
      </c>
      <c r="S208" s="65">
        <v>101.268</v>
      </c>
      <c r="T208" s="65">
        <v>7.97</v>
      </c>
    </row>
    <row r="209" spans="1:20" x14ac:dyDescent="0.25">
      <c r="A209" s="67">
        <v>45925.664629629631</v>
      </c>
      <c r="B209" s="68">
        <v>-948928843</v>
      </c>
      <c r="C209" s="68">
        <v>324339418</v>
      </c>
      <c r="D209" s="68">
        <v>2311122795</v>
      </c>
      <c r="E209" s="66">
        <v>0.13229486442572372</v>
      </c>
      <c r="F209" s="68">
        <v>95200078</v>
      </c>
      <c r="G209" s="68">
        <v>-19521269</v>
      </c>
      <c r="H209" s="68">
        <v>1254145648</v>
      </c>
      <c r="I209" s="65">
        <v>-224.102</v>
      </c>
      <c r="J209" s="65">
        <v>-2.7</v>
      </c>
      <c r="K209" s="68">
        <v>6790934905</v>
      </c>
      <c r="L209" s="68">
        <v>1789098305</v>
      </c>
      <c r="M209" s="68">
        <v>1877192145</v>
      </c>
      <c r="N209" s="75">
        <v>0.13229486442572372</v>
      </c>
      <c r="O209" s="75">
        <v>8.1400000000000014E-2</v>
      </c>
      <c r="P209" s="68">
        <v>-392817425</v>
      </c>
      <c r="Q209" s="68">
        <v>-2044076730</v>
      </c>
      <c r="R209" s="68">
        <v>2342382455</v>
      </c>
      <c r="S209" s="65">
        <v>100.803</v>
      </c>
      <c r="T209" s="65">
        <v>7.95</v>
      </c>
    </row>
    <row r="210" spans="1:20" x14ac:dyDescent="0.25">
      <c r="A210" s="67">
        <v>45925.664976851855</v>
      </c>
      <c r="B210" s="68">
        <v>-929492495</v>
      </c>
      <c r="C210" s="68">
        <v>309145443</v>
      </c>
      <c r="D210" s="68">
        <v>2300120224</v>
      </c>
      <c r="E210" s="66">
        <v>0.13229486442572372</v>
      </c>
      <c r="F210" s="68">
        <v>91043080</v>
      </c>
      <c r="G210" s="68">
        <v>-9363985</v>
      </c>
      <c r="H210" s="68">
        <v>1255026940</v>
      </c>
      <c r="I210" s="65">
        <v>-223.261</v>
      </c>
      <c r="J210" s="65">
        <v>-2.7</v>
      </c>
      <c r="K210" s="68">
        <v>6823114385</v>
      </c>
      <c r="L210" s="68">
        <v>1815200310</v>
      </c>
      <c r="M210" s="68">
        <v>1979250975</v>
      </c>
      <c r="N210" s="75">
        <v>0.13229486442572372</v>
      </c>
      <c r="O210" s="75">
        <v>8.1900000000000014E-2</v>
      </c>
      <c r="P210" s="68">
        <v>-386640575</v>
      </c>
      <c r="Q210" s="68">
        <v>-2014583185</v>
      </c>
      <c r="R210" s="68">
        <v>2324279420</v>
      </c>
      <c r="S210" s="65">
        <v>99.522000000000006</v>
      </c>
      <c r="T210" s="65">
        <v>7.835</v>
      </c>
    </row>
    <row r="211" spans="1:20" x14ac:dyDescent="0.25">
      <c r="A211" s="67">
        <v>45925.790636574071</v>
      </c>
      <c r="N211" s="75">
        <v>7.055475115776062</v>
      </c>
      <c r="O211" s="75">
        <v>2.667120099067688</v>
      </c>
    </row>
    <row r="212" spans="1:20" x14ac:dyDescent="0.25">
      <c r="A212" s="67">
        <v>45925.793483796297</v>
      </c>
      <c r="N212" s="75">
        <v>5.7951861619949341</v>
      </c>
      <c r="O212" s="75">
        <v>1.4478123188018799</v>
      </c>
    </row>
    <row r="213" spans="1:20" x14ac:dyDescent="0.25">
      <c r="A213" s="67">
        <v>45925.79383101852</v>
      </c>
      <c r="N213" s="75">
        <v>3.0194801092147827</v>
      </c>
      <c r="O213" s="75">
        <v>3.8737004995346069</v>
      </c>
    </row>
    <row r="214" spans="1:20" x14ac:dyDescent="0.25">
      <c r="A214" s="67">
        <v>45925.794178240743</v>
      </c>
      <c r="N214" s="75">
        <v>0.14017641544342041</v>
      </c>
      <c r="O214" s="75">
        <v>3.8036179542541499</v>
      </c>
    </row>
    <row r="215" spans="1:20" x14ac:dyDescent="0.25">
      <c r="A215" s="67">
        <v>45925.794525462959</v>
      </c>
      <c r="N215" s="75">
        <v>8.1449002027511597</v>
      </c>
      <c r="O215" s="75">
        <v>3.5451894998550415</v>
      </c>
    </row>
    <row r="216" spans="1:20" x14ac:dyDescent="0.25">
      <c r="A216" s="67">
        <v>45925.794872685183</v>
      </c>
      <c r="N216" s="75">
        <v>0.45352756977081299</v>
      </c>
      <c r="O216" s="75">
        <v>2.0701634883880615</v>
      </c>
    </row>
    <row r="217" spans="1:20" x14ac:dyDescent="0.25">
      <c r="A217" s="67">
        <v>45925.795219907406</v>
      </c>
      <c r="N217" s="75">
        <v>8.6261934041976929</v>
      </c>
      <c r="O217" s="75">
        <v>3.9524000883102417</v>
      </c>
    </row>
    <row r="218" spans="1:20" x14ac:dyDescent="0.25">
      <c r="A218" s="67">
        <v>45925.795567129629</v>
      </c>
      <c r="N218" s="75">
        <v>3.7353616952896118</v>
      </c>
      <c r="O218" s="75">
        <v>4.8097658157348633</v>
      </c>
    </row>
    <row r="219" spans="1:20" x14ac:dyDescent="0.25">
      <c r="A219" s="67">
        <v>45925.795914351853</v>
      </c>
      <c r="N219" s="75">
        <v>8.7144583463668823</v>
      </c>
      <c r="O219" s="75">
        <v>0.28118431568145752</v>
      </c>
    </row>
    <row r="220" spans="1:20" x14ac:dyDescent="0.25">
      <c r="A220" s="67">
        <v>45925.796261574076</v>
      </c>
      <c r="N220" s="75" t="s">
        <v>322</v>
      </c>
      <c r="O220" s="75">
        <v>1.8200933933258057</v>
      </c>
    </row>
    <row r="221" spans="1:20" x14ac:dyDescent="0.25">
      <c r="A221" s="67">
        <v>45925.7966087963</v>
      </c>
      <c r="N221" s="75">
        <v>5.24868428707122</v>
      </c>
      <c r="O221" s="75">
        <v>3.835558295249939</v>
      </c>
    </row>
    <row r="222" spans="1:20" x14ac:dyDescent="0.25">
      <c r="A222" s="67">
        <v>45925.796956018516</v>
      </c>
      <c r="N222" s="75">
        <v>0.535045266151428</v>
      </c>
      <c r="O222" s="75">
        <v>2.9622912406921387</v>
      </c>
    </row>
    <row r="223" spans="1:20" x14ac:dyDescent="0.25">
      <c r="A223" s="67">
        <v>45925.797303240739</v>
      </c>
      <c r="N223" s="75">
        <v>4.6870011091232202</v>
      </c>
      <c r="O223" s="75">
        <v>1.490827202796936</v>
      </c>
    </row>
    <row r="224" spans="1:20" x14ac:dyDescent="0.25">
      <c r="A224" s="67">
        <v>45925.797650462962</v>
      </c>
      <c r="N224" s="75">
        <v>6.2269669771194458</v>
      </c>
      <c r="O224" s="75">
        <v>3.2391059398651123</v>
      </c>
    </row>
    <row r="225" spans="1:15" x14ac:dyDescent="0.25">
      <c r="A225" s="67">
        <v>45925.797997685186</v>
      </c>
      <c r="N225" s="75">
        <v>2.6379293203353882</v>
      </c>
      <c r="O225" s="75">
        <v>1.3967102766036987</v>
      </c>
    </row>
    <row r="226" spans="1:15" x14ac:dyDescent="0.25">
      <c r="A226" s="67">
        <v>45925.798344907409</v>
      </c>
      <c r="N226" s="75">
        <v>8.2980161905288696</v>
      </c>
      <c r="O226" s="75">
        <v>4.1230106353759766</v>
      </c>
    </row>
    <row r="227" spans="1:15" x14ac:dyDescent="0.25">
      <c r="A227" s="67">
        <v>45925.798692129632</v>
      </c>
      <c r="N227" s="75">
        <v>5.8916300535202026</v>
      </c>
      <c r="O227" s="75">
        <v>4.9304658174514771</v>
      </c>
    </row>
    <row r="228" spans="1:15" x14ac:dyDescent="0.25">
      <c r="A228" s="67">
        <v>45925.799039351848</v>
      </c>
      <c r="N228" s="75">
        <v>9.1096431016921997</v>
      </c>
      <c r="O228" s="75">
        <v>1.1343300342559814</v>
      </c>
    </row>
    <row r="229" spans="1:15" x14ac:dyDescent="0.25">
      <c r="A229" s="67">
        <v>45925.799837962964</v>
      </c>
      <c r="N229" s="75">
        <v>6.9511550664901733</v>
      </c>
      <c r="O229" s="75">
        <v>4.900016188621521</v>
      </c>
    </row>
    <row r="230" spans="1:15" x14ac:dyDescent="0.25">
      <c r="A230" s="67">
        <v>45925.800185185188</v>
      </c>
      <c r="N230" s="75">
        <v>2.439313530921936</v>
      </c>
      <c r="O230" s="75">
        <v>2.669365406036377</v>
      </c>
    </row>
    <row r="231" spans="1:15" x14ac:dyDescent="0.25">
      <c r="A231" s="67">
        <v>45925.800532407404</v>
      </c>
      <c r="N231" s="76">
        <v>1.0636967420578003</v>
      </c>
      <c r="O231" s="75">
        <v>4.9970728158950806</v>
      </c>
    </row>
    <row r="232" spans="1:15" x14ac:dyDescent="0.25">
      <c r="A232" s="67">
        <v>45925.800879629627</v>
      </c>
      <c r="N232" s="76">
        <v>6.7617589235305786</v>
      </c>
      <c r="O232" s="75">
        <v>7.8519582748413086E-2</v>
      </c>
    </row>
    <row r="233" spans="1:15" x14ac:dyDescent="0.25">
      <c r="A233" s="67">
        <v>45925.801226851851</v>
      </c>
      <c r="N233" s="75">
        <v>5.7518380880355835</v>
      </c>
      <c r="O233" s="75">
        <v>0.50026118755340576</v>
      </c>
    </row>
    <row r="234" spans="1:15" x14ac:dyDescent="0.25">
      <c r="A234" s="67">
        <v>45925.801574074074</v>
      </c>
      <c r="N234" s="75">
        <v>1.0302263498306274</v>
      </c>
      <c r="O234" s="75">
        <v>3.9944219589233398</v>
      </c>
    </row>
    <row r="235" spans="1:15" x14ac:dyDescent="0.25">
      <c r="A235" s="67">
        <v>45925.801921296297</v>
      </c>
      <c r="N235" s="75">
        <v>2.8448027372360229</v>
      </c>
      <c r="O235" s="75">
        <v>0.22824585437774658</v>
      </c>
    </row>
    <row r="236" spans="1:15" x14ac:dyDescent="0.25">
      <c r="A236" s="67">
        <v>45925.802268518521</v>
      </c>
      <c r="N236" s="75">
        <v>2.9577285051345825</v>
      </c>
      <c r="O236" s="75">
        <v>1.9100534915924072</v>
      </c>
    </row>
    <row r="237" spans="1:15" x14ac:dyDescent="0.25">
      <c r="A237" s="67">
        <v>45925.802615740744</v>
      </c>
      <c r="N237" s="75">
        <v>3.0097049474716187</v>
      </c>
      <c r="O237" s="75">
        <v>4.742855429649353</v>
      </c>
    </row>
    <row r="238" spans="1:15" x14ac:dyDescent="0.25">
      <c r="A238" s="67">
        <v>45925.80296296296</v>
      </c>
      <c r="N238" s="75">
        <v>9.7982937097549438</v>
      </c>
      <c r="O238" s="75">
        <v>2.0068717002868652</v>
      </c>
    </row>
    <row r="239" spans="1:15" x14ac:dyDescent="0.25">
      <c r="A239" s="67">
        <v>45925.803310185183</v>
      </c>
      <c r="N239" s="75">
        <v>2.7827996015548706</v>
      </c>
      <c r="O239" s="75">
        <v>0.8022075891494751</v>
      </c>
    </row>
    <row r="240" spans="1:15" x14ac:dyDescent="0.25">
      <c r="A240" s="67">
        <v>45925.803310185183</v>
      </c>
      <c r="N240" s="75">
        <v>1.6282159090042114</v>
      </c>
      <c r="O240" s="75">
        <v>3.2329356670379639</v>
      </c>
    </row>
    <row r="241" spans="1:15" x14ac:dyDescent="0.25">
      <c r="A241" s="67">
        <v>45925.803668981483</v>
      </c>
      <c r="N241" s="75">
        <v>4.1007322072982788</v>
      </c>
      <c r="O241" s="75">
        <v>2.0638340711593628</v>
      </c>
    </row>
    <row r="242" spans="1:15" x14ac:dyDescent="0.25">
      <c r="A242" s="67">
        <v>45925.804016203707</v>
      </c>
      <c r="N242" s="75">
        <v>7.1273046731948853</v>
      </c>
      <c r="O242" s="75">
        <v>1.6310310363769531</v>
      </c>
    </row>
    <row r="243" spans="1:15" x14ac:dyDescent="0.25">
      <c r="A243" s="67">
        <v>45925.804375</v>
      </c>
      <c r="N243" s="75">
        <v>6.3317888975143433</v>
      </c>
      <c r="O243" s="75">
        <v>1.0378056764602661</v>
      </c>
    </row>
    <row r="244" spans="1:15" x14ac:dyDescent="0.25">
      <c r="A244" s="67">
        <v>45925.804722222223</v>
      </c>
      <c r="N244" s="75">
        <v>1.8601351976394653</v>
      </c>
      <c r="O244" s="75">
        <v>2.916795015335083</v>
      </c>
    </row>
    <row r="245" spans="1:15" x14ac:dyDescent="0.25">
      <c r="A245" s="67">
        <v>45925.805069444446</v>
      </c>
      <c r="N245" s="75">
        <v>0.80714643001556396</v>
      </c>
      <c r="O245" s="75">
        <v>2.2898572683334351</v>
      </c>
    </row>
    <row r="246" spans="1:15" x14ac:dyDescent="0.25">
      <c r="A246" s="67">
        <v>45925.80541666667</v>
      </c>
      <c r="N246" s="75">
        <v>9.0572983026504517</v>
      </c>
      <c r="O246" s="75">
        <v>1.3068413734436035</v>
      </c>
    </row>
    <row r="247" spans="1:15" x14ac:dyDescent="0.25">
      <c r="A247" s="67">
        <v>45925.805775462963</v>
      </c>
      <c r="N247" s="75">
        <v>7.8521221876144409</v>
      </c>
      <c r="O247" s="75">
        <v>1.8945127725601196</v>
      </c>
    </row>
    <row r="248" spans="1:15" x14ac:dyDescent="0.25">
      <c r="A248" s="67">
        <v>45925.805983796294</v>
      </c>
      <c r="N248" s="75">
        <v>2.8966504335403442</v>
      </c>
      <c r="O248" s="75">
        <v>4.5968854427337646</v>
      </c>
    </row>
    <row r="249" spans="1:15" x14ac:dyDescent="0.25">
      <c r="A249" s="67">
        <v>45925.806122685186</v>
      </c>
      <c r="N249" s="75">
        <v>6.3174241781234741</v>
      </c>
      <c r="O249" s="75">
        <v>3.1382101774215698</v>
      </c>
    </row>
    <row r="250" spans="1:15" x14ac:dyDescent="0.25">
      <c r="A250" s="67">
        <v>45925.806307870371</v>
      </c>
      <c r="N250" s="75">
        <v>4.2845636606216431</v>
      </c>
      <c r="O250" s="75">
        <v>0.48986911773681641</v>
      </c>
    </row>
    <row r="251" spans="1:15" x14ac:dyDescent="0.25">
      <c r="A251" s="67">
        <v>45925.806469907409</v>
      </c>
      <c r="N251" s="75">
        <v>5.6104010343551636</v>
      </c>
      <c r="O251" s="75">
        <v>3.4724265336990356</v>
      </c>
    </row>
    <row r="252" spans="1:15" x14ac:dyDescent="0.25">
      <c r="A252" s="67">
        <v>45926.656701388885</v>
      </c>
      <c r="N252" s="75">
        <v>7.055475115776062</v>
      </c>
      <c r="O252" s="75">
        <v>2.667120099067688</v>
      </c>
    </row>
    <row r="253" spans="1:15" x14ac:dyDescent="0.25">
      <c r="A253" s="67">
        <v>45926.657048611109</v>
      </c>
      <c r="N253" s="75">
        <v>5.7951861619949341</v>
      </c>
      <c r="O253" s="75">
        <v>1.4478123188018799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17E78E1-F6AE-40E1-BCC1-6A07442C0AA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 QUANT INDICE E DOLAR</vt:lpstr>
      <vt:lpstr>HISTORICO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Wanderson de Souza Dias</dc:creator>
  <cp:lastModifiedBy>Wanderson de Souza Dias</cp:lastModifiedBy>
  <dcterms:created xsi:type="dcterms:W3CDTF">2024-03-20T17:08:48Z</dcterms:created>
  <dcterms:modified xsi:type="dcterms:W3CDTF">2025-09-26T18:48:11Z</dcterms:modified>
</cp:coreProperties>
</file>